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מוצרים פוטנציאליים" sheetId="1" state="visible" r:id="rId1"/>
    <sheet name="הערות והנח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&quot; ₪&quot;"/>
    <numFmt numFmtId="165" formatCode="0.0%"/>
  </numFmts>
  <fonts count="21">
    <font>
      <name val="Calibri"/>
      <color theme="1"/>
      <sz val="11"/>
      <scheme val="minor"/>
    </font>
    <font>
      <name val="Arial"/>
      <b val="1"/>
      <color rgb="FFFFFFFF"/>
      <sz val="11"/>
    </font>
    <font>
      <name val="FreeSans"/>
      <b val="1"/>
      <color rgb="FFFFFFFF"/>
      <sz val="11"/>
    </font>
    <font>
      <name val="FreeSans"/>
      <color rgb="FF000000"/>
      <sz val="11"/>
    </font>
    <font>
      <name val="Calibri"/>
      <color rgb="FF0563C1"/>
      <sz val="11"/>
      <u val="single"/>
    </font>
    <font>
      <name val="Calibri"/>
      <color rgb="FF000000"/>
      <sz val="11"/>
    </font>
    <font>
      <name val="Calibri"/>
      <color rgb="FF0563C1"/>
      <sz val="11"/>
      <u val="single"/>
    </font>
    <font>
      <name val="Calibri"/>
      <color rgb="FF0563C1"/>
      <sz val="10"/>
    </font>
    <font>
      <name val="Calibri"/>
      <color rgb="FF0563C1"/>
      <sz val="11"/>
      <u val="single"/>
    </font>
    <font>
      <name val="Calibri"/>
      <color rgb="FF0563C1"/>
      <sz val="11"/>
      <u val="single"/>
    </font>
    <font>
      <name val="Calibri"/>
      <color rgb="FF0563C1"/>
      <sz val="11"/>
    </font>
    <font>
      <name val="Calibri"/>
      <color rgb="FF0563C1"/>
      <sz val="11"/>
      <u val="single"/>
    </font>
    <font>
      <name val="Calibri"/>
      <color rgb="FF0563C1"/>
      <sz val="11"/>
      <u val="single"/>
    </font>
    <font>
      <name val="Calibri"/>
      <color rgb="FF0563C1"/>
      <sz val="11"/>
      <u val="single"/>
    </font>
    <font>
      <name val="Calibri"/>
      <color rgb="FF0563C1"/>
      <sz val="11"/>
      <u val="single"/>
    </font>
    <font>
      <name val="Arial"/>
      <color rgb="FF000000"/>
      <sz val="11"/>
    </font>
    <font>
      <name val="Calibri"/>
      <color rgb="FF3C78D8"/>
      <sz val="11"/>
      <u val="single"/>
    </font>
    <font>
      <name val="Calibri"/>
      <color rgb="FF0563C1"/>
      <sz val="11"/>
      <u val="single"/>
    </font>
    <font>
      <name val="Calibri"/>
      <color rgb="FF0563C1"/>
      <sz val="11"/>
      <u val="single"/>
    </font>
    <font>
      <name val="Arial"/>
      <b val="1"/>
      <sz val="11"/>
    </font>
    <font>
      <name val="Arial"/>
      <sz val="11"/>
    </font>
  </fonts>
  <fills count="8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DEDED"/>
        <bgColor rgb="FFEDEDED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548235"/>
      </top>
      <bottom style="thin">
        <color rgb="FFBFBFBF"/>
      </bottom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right" vertical="top" wrapText="1"/>
    </xf>
    <xf numFmtId="0" fontId="2" fillId="2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horizontal="right" vertical="top" wrapText="1"/>
    </xf>
    <xf numFmtId="0" fontId="3" fillId="0" borderId="2" applyAlignment="1" pivotButton="0" quotePrefix="0" xfId="0">
      <alignment horizontal="right" vertical="top" wrapText="1"/>
    </xf>
    <xf numFmtId="0" fontId="4" fillId="0" borderId="1" applyAlignment="1" pivotButton="0" quotePrefix="0" xfId="0">
      <alignment horizontal="right" vertical="top" wrapText="1"/>
    </xf>
    <xf numFmtId="164" fontId="5" fillId="0" borderId="2" applyAlignment="1" pivotButton="0" quotePrefix="0" xfId="0">
      <alignment horizontal="right" vertical="top" wrapText="1"/>
    </xf>
    <xf numFmtId="165" fontId="5" fillId="0" borderId="2" applyAlignment="1" pivotButton="0" quotePrefix="0" xfId="0">
      <alignment horizontal="right" vertical="top" wrapText="1"/>
    </xf>
    <xf numFmtId="2" fontId="5" fillId="3" borderId="1" applyAlignment="1" pivotButton="0" quotePrefix="0" xfId="0">
      <alignment horizontal="right" vertical="top" wrapText="1"/>
    </xf>
    <xf numFmtId="2" fontId="5" fillId="4" borderId="1" applyAlignment="1" pivotButton="0" quotePrefix="0" xfId="0">
      <alignment horizontal="right" vertical="top" wrapText="1"/>
    </xf>
    <xf numFmtId="0" fontId="6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top" wrapText="1"/>
    </xf>
    <xf numFmtId="0" fontId="3" fillId="0" borderId="2" applyAlignment="1" pivotButton="0" quotePrefix="0" xfId="0">
      <alignment horizontal="right" vertical="top" wrapText="1"/>
    </xf>
    <xf numFmtId="0" fontId="3" fillId="0" borderId="1" applyAlignment="1" pivotButton="0" quotePrefix="0" xfId="0">
      <alignment horizontal="right" vertical="top" wrapText="1"/>
    </xf>
    <xf numFmtId="164" fontId="5" fillId="0" borderId="1" applyAlignment="1" pivotButton="0" quotePrefix="0" xfId="0">
      <alignment horizontal="right" vertical="top" wrapText="1"/>
    </xf>
    <xf numFmtId="165" fontId="5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horizontal="right" vertical="center"/>
    </xf>
    <xf numFmtId="0" fontId="3" fillId="6" borderId="0" applyAlignment="1" pivotButton="0" quotePrefix="0" xfId="0">
      <alignment horizontal="right" vertical="top" wrapText="1"/>
    </xf>
    <xf numFmtId="0" fontId="3" fillId="6" borderId="1" applyAlignment="1" pivotButton="0" quotePrefix="0" xfId="0">
      <alignment horizontal="right" vertical="top" wrapText="1"/>
    </xf>
    <xf numFmtId="0" fontId="8" fillId="6" borderId="1" applyAlignment="1" pivotButton="0" quotePrefix="0" xfId="0">
      <alignment horizontal="right" vertical="top" wrapText="1"/>
    </xf>
    <xf numFmtId="164" fontId="5" fillId="6" borderId="1" applyAlignment="1" pivotButton="0" quotePrefix="0" xfId="0">
      <alignment horizontal="right" vertical="top" wrapText="1"/>
    </xf>
    <xf numFmtId="165" fontId="5" fillId="6" borderId="1" applyAlignment="1" pivotButton="0" quotePrefix="0" xfId="0">
      <alignment horizontal="right" vertical="top" wrapText="1"/>
    </xf>
    <xf numFmtId="0" fontId="9" fillId="6" borderId="1" applyAlignment="1" pivotButton="0" quotePrefix="0" xfId="0">
      <alignment horizontal="right" vertical="top" wrapText="1"/>
    </xf>
    <xf numFmtId="0" fontId="5" fillId="6" borderId="1" applyAlignment="1" pivotButton="0" quotePrefix="0" xfId="0">
      <alignment horizontal="right" vertical="top" wrapText="1"/>
    </xf>
    <xf numFmtId="0" fontId="10" fillId="6" borderId="1" applyAlignment="1" pivotButton="0" quotePrefix="0" xfId="0">
      <alignment horizontal="right" vertical="top" wrapText="1"/>
    </xf>
    <xf numFmtId="0" fontId="3" fillId="7" borderId="0" applyAlignment="1" pivotButton="0" quotePrefix="0" xfId="0">
      <alignment horizontal="right" vertical="top" wrapText="1"/>
    </xf>
    <xf numFmtId="0" fontId="3" fillId="7" borderId="1" applyAlignment="1" pivotButton="0" quotePrefix="0" xfId="0">
      <alignment horizontal="right" vertical="top" wrapText="1"/>
    </xf>
    <xf numFmtId="0" fontId="11" fillId="7" borderId="1" applyAlignment="1" pivotButton="0" quotePrefix="0" xfId="0">
      <alignment horizontal="right" vertical="top" wrapText="1"/>
    </xf>
    <xf numFmtId="164" fontId="5" fillId="7" borderId="1" applyAlignment="1" pivotButton="0" quotePrefix="0" xfId="0">
      <alignment horizontal="right" vertical="top" wrapText="1"/>
    </xf>
    <xf numFmtId="165" fontId="5" fillId="7" borderId="1" applyAlignment="1" pivotButton="0" quotePrefix="0" xfId="0">
      <alignment horizontal="right" vertical="top" wrapText="1"/>
    </xf>
    <xf numFmtId="0" fontId="7" fillId="7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top" wrapText="1"/>
    </xf>
    <xf numFmtId="0" fontId="13" fillId="6" borderId="0" applyAlignment="1" pivotButton="0" quotePrefix="0" xfId="0">
      <alignment horizontal="right" vertical="top" wrapText="1"/>
    </xf>
    <xf numFmtId="0" fontId="10" fillId="7" borderId="1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14" fillId="7" borderId="1" applyAlignment="1" pivotButton="0" quotePrefix="0" xfId="0">
      <alignment horizontal="right" vertical="top" wrapText="1"/>
    </xf>
    <xf numFmtId="0" fontId="15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5" fillId="5" borderId="1" applyAlignment="1" pivotButton="0" quotePrefix="0" xfId="0">
      <alignment horizontal="right" vertical="top" wrapText="1"/>
    </xf>
    <xf numFmtId="0" fontId="16" fillId="0" borderId="0" applyAlignment="1" pivotButton="0" quotePrefix="0" xfId="0">
      <alignment horizontal="right" vertical="top" wrapText="1"/>
    </xf>
    <xf numFmtId="164" fontId="5" fillId="7" borderId="1" applyAlignment="1" pivotButton="0" quotePrefix="0" xfId="0">
      <alignment horizontal="right" vertical="top" wrapText="1"/>
    </xf>
    <xf numFmtId="0" fontId="17" fillId="7" borderId="1" applyAlignment="1" pivotButton="0" quotePrefix="0" xfId="0">
      <alignment horizontal="right" vertical="top" wrapText="1"/>
    </xf>
    <xf numFmtId="0" fontId="15" fillId="6" borderId="0" applyAlignment="1" pivotButton="0" quotePrefix="0" xfId="0">
      <alignment horizontal="right" vertical="top" wrapText="1"/>
    </xf>
    <xf numFmtId="0" fontId="18" fillId="6" borderId="0" applyAlignment="1" pivotButton="0" quotePrefix="0" xfId="0">
      <alignment horizontal="right" vertical="top" wrapText="1"/>
    </xf>
    <xf numFmtId="0" fontId="5" fillId="6" borderId="1" applyAlignment="1" pivotButton="0" quotePrefix="0" xfId="0">
      <alignment horizontal="right" vertical="top" wrapText="1"/>
    </xf>
    <xf numFmtId="0" fontId="0" fillId="0" borderId="0" pivotButton="0" quotePrefix="0" xfId="0"/>
    <xf numFmtId="0" fontId="3" fillId="0" borderId="0" applyAlignment="1" pivotButton="0" quotePrefix="0" xfId="0">
      <alignment horizontal="right" vertical="top" wrapText="1"/>
    </xf>
    <xf numFmtId="0" fontId="3" fillId="0" borderId="2" applyAlignment="1" pivotButton="0" quotePrefix="0" xfId="0">
      <alignment horizontal="right" vertical="top" wrapText="1"/>
    </xf>
    <xf numFmtId="0" fontId="18" fillId="0" borderId="1" applyAlignment="1" pivotButton="0" quotePrefix="0" xfId="0">
      <alignment horizontal="right" vertical="top" wrapText="1"/>
    </xf>
    <xf numFmtId="164" fontId="5" fillId="0" borderId="2" applyAlignment="1" pivotButton="0" quotePrefix="0" xfId="0">
      <alignment horizontal="right" vertical="top" wrapText="1"/>
    </xf>
    <xf numFmtId="165" fontId="5" fillId="0" borderId="2" applyAlignment="1" pivotButton="0" quotePrefix="0" xfId="0">
      <alignment horizontal="right" vertical="top" wrapText="1"/>
    </xf>
    <xf numFmtId="2" fontId="5" fillId="3" borderId="1" applyAlignment="1" pivotButton="0" quotePrefix="0" xfId="0">
      <alignment horizontal="right" vertical="top" wrapText="1"/>
    </xf>
    <xf numFmtId="2" fontId="5" fillId="4" borderId="1" applyAlignment="1" pivotButton="0" quotePrefix="0" xfId="0">
      <alignment horizontal="right" vertical="top" wrapText="1"/>
    </xf>
    <xf numFmtId="0" fontId="18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top" wrapText="1"/>
    </xf>
    <xf numFmtId="0" fontId="19" fillId="0" borderId="0" applyAlignment="1" pivotButton="0" quotePrefix="0" xfId="0">
      <alignment horizontal="right" vertical="top" wrapText="1"/>
    </xf>
    <xf numFmtId="0" fontId="20" fillId="0" borderId="0" applyAlignment="1" pivotButton="0" quotePrefix="0" xfId="0">
      <alignment horizontal="righ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D2" authorId="0" shapeId="0">
      <text>
        <t>הערכת עלות כולל משלוח לכל ההזמנה (המארז): מחיר דולרי × 3.7 ₪ + משלוח + ~10% בלת"מ. לאמת מול ספק ספציפי.</t>
      </text>
    </comment>
    <comment ref="D3" authorId="0" shapeId="0">
      <text>
        <t>הערכת עלות כולל משלוח לכל ההזמנה (המארז): מחיר דולרי × 3.7 ₪ + משלוח + ~10% בלת"מ. לאמת מול ספק ספציפי.</t>
      </text>
    </comment>
    <comment ref="D4" authorId="0" shapeId="0">
      <text>
        <t>הערכת עלות כולל משלוח לכל ההזמנה (המארז): מחיר דולרי × 3.7 ₪ + משלוח + ~10% בלת"מ. לאמת מול ספק ספציפי.</t>
      </text>
    </comment>
    <comment ref="D5" authorId="0" shapeId="0">
      <text>
        <t>הערכת עלות כולל משלוח לכל ההזמנה (המארז): מחיר דולרי × 3.7 ₪ + משלוח + ~10% בלת"מ. לאמת מול ספק ספציפי.</t>
      </text>
    </comment>
    <comment ref="D6" authorId="0" shapeId="0">
      <text>
        <t>הערכת עלות כולל משלוח לכל ההזמנה (המארז): מחיר דולרי × 3.7 ₪ + משלוח + ~10% בלת"מ. לאמת מול ספק ספציפי.</t>
      </text>
    </comment>
    <comment ref="D7" authorId="0" shapeId="0">
      <text>
        <t>הערכת עלות כולל משלוח לכל ההזמנה (המארז): מחיר דולרי × 3.7 ₪ + משלוח + ~10% בלת"מ. לאמת מול ספק ספציפי.</t>
      </text>
    </comment>
    <comment ref="D8" authorId="0" shapeId="0">
      <text>
        <t>הערכת עלות כולל משלוח לכל ההזמנה (המארז): מחיר דולרי × 3.7 ₪ + משלוח + ~10% בלת"מ. לאמת מול ספק ספציפי.</t>
      </text>
    </comment>
    <comment ref="D9" authorId="0" shapeId="0">
      <text>
        <t>הערכת עלות כולל משלוח לכל ההזמנה (המארז): מחיר דולרי × 3.7 ₪ + משלוח + ~10% בלת"מ. לאמת מול ספק ספציפי.</t>
      </text>
    </comment>
    <comment ref="D10" authorId="0" shapeId="0">
      <text>
        <t>הערכת עלות כולל משלוח לכל ההזמנה (המארז): מחיר דולרי × 3.7 ₪ + משלוח + ~10% בלת"מ. לאמת מול ספק ספציפי.</t>
      </text>
    </comment>
    <comment ref="D11" authorId="0" shapeId="0">
      <text>
        <t>הערכת עלות כולל משלוח לכל ההזמנה (המארז): מחיר דולרי × 3.7 ₪ + משלוח + ~10% בלת"מ. לאמת מול ספק ספציפי.</t>
      </text>
    </comment>
    <comment ref="D12" authorId="0" shapeId="0">
      <text>
        <t>הערכת עלות כולל משלוח לכל ההזמנה (המארז): מחיר דולרי × 3.7 ₪ + משלוח + ~10% בלת"מ. לאמת מול ספק ספציפי.</t>
      </text>
    </comment>
    <comment ref="D13" authorId="0" shapeId="0">
      <text>
        <t>הערכת עלות כולל משלוח לכל ההזמנה (המארז): מחיר דולרי × 3.7 ₪ + משלוח + ~10% בלת"מ. לאמת מול ספק ספציפי.</t>
      </text>
    </comment>
    <comment ref="D14" authorId="0" shapeId="0">
      <text>
        <t>הערכת עלות כולל משלוח לכל ההזמנה (המארז): מחיר דולרי × 3.7 ₪ + משלוח + ~10% בלת"מ. לאמת מול ספק ספציפי.</t>
      </text>
    </comment>
    <comment ref="D15" authorId="0" shapeId="0">
      <text>
        <t>הערכת עלות כולל משלוח לכל ההזמנה (המארז): מחיר דולרי × 3.7 ₪ + משלוח + ~10% בלת"מ. לאמת מול ספק ספציפי.</t>
      </text>
    </comment>
    <comment ref="D16" authorId="0" shapeId="0">
      <text>
        <t>הערכת עלות כולל משלוח לכל ההזמנה (המארז): מחיר דולרי × 3.7 ₪ + משלוח + ~10% בלת"מ. לאמת מול ספק ספציפי.</t>
      </text>
    </comment>
    <comment ref="D17" authorId="0" shapeId="0">
      <text>
        <t>הערכת עלות כולל משלוח לכל ההזמנה (המארז): מחיר דולרי × 3.7 ₪ + משלוח + ~10% בלת"מ. לאמת מול ספק ספציפי.</t>
      </text>
    </comment>
    <comment ref="D18" authorId="0" shapeId="0">
      <text>
        <t>הערכת עלות כולל משלוח לכל ההזמנה (המארז): מחיר דולרי × 3.7 ₪ + משלוח + ~10% בלת"מ. לאמת מול ספק ספציפי.</t>
      </text>
    </comment>
    <comment ref="D19" authorId="0" shapeId="0">
      <text>
        <t>הערכת עלות כולל משלוח לכל ההזמנה (המארז): מחיר דולרי × 3.7 ₪ + משלוח + ~10% בלת"מ. לאמת מול ספק ספציפי.</t>
      </text>
    </comment>
    <comment ref="D20" authorId="0" shapeId="0">
      <text>
        <t>הערכת עלות כולל משלוח לכל ההזמנה (המארז): מחיר דולרי × 3.7 ₪ + משלוח + ~10% בלת"מ. לאמת מול ספק ספציפי.</t>
      </text>
    </comment>
    <comment ref="D21" authorId="0" shapeId="0">
      <text>
        <t>הערכת עלות כולל משלוח לכל ההזמנה (המארז): מחיר דולרי × 3.7 ₪ + משלוח + ~10% בלת"מ. לאמת מול ספק ספציפי.</t>
      </text>
    </comment>
    <comment ref="D22" authorId="0" shapeId="0">
      <text>
        <t>הערכת עלות כולל משלוח לכל ההזמנה (המארז): מחיר דולרי × 3.7 ₪ + משלוח + ~10% בלת"מ. לאמת מול ספק ספציפי.</t>
      </text>
    </comment>
    <comment ref="D23" authorId="0" shapeId="0">
      <text>
        <t>הערכת עלות כולל משלוח לכל ההזמנה (המארז): מחיר דולרי × 3.7 ₪ + משלוח + ~10% בלת"מ. לאמת מול ספק ספציפי.</t>
      </text>
    </comment>
    <comment ref="D24" authorId="0" shapeId="0">
      <text>
        <t>הערכת עלות כולל משלוח לכל ההזמנה (המארז): מחיר דולרי × 3.7 ₪ + משלוח + ~10% בלת"מ. לאמת מול ספק ספציפי.</t>
      </text>
    </comment>
    <comment ref="D25" authorId="0" shapeId="0">
      <text>
        <t>הערכת עלות כולל משלוח לכל ההזמנה (המארז): מחיר דולרי × 3.7 ₪ + משלוח + ~10% בלת"מ. לאמת מול ספק ספציפי.</t>
      </text>
    </comment>
    <comment ref="D26" authorId="0" shapeId="0">
      <text>
        <t>הערכת עלות כולל משלוח לכל ההזמנה (המארז): מחיר דולרי × 3.7 ₪ + משלוח + ~10% בלת"מ. לאמת מול ספק ספציפי.</t>
      </text>
    </comment>
    <comment ref="D27" authorId="0" shapeId="0">
      <text>
        <t>הערכת עלות כולל משלוח לכל ההזמנה (המארז): מחיר דולרי × 3.7 ₪ + משלוח + ~10% בלת"מ. לאמת מול ספק ספציפי.</t>
      </text>
    </comment>
    <comment ref="D28" authorId="0" shapeId="0">
      <text>
        <t>הערכת עלות כולל משלוח לכל ההזמנה (המארז): מחיר דולרי × 3.7 ₪ + משלוח + ~10% בלת"מ. לאמת מול ספק ספציפי.</t>
      </text>
    </comment>
    <comment ref="D29" authorId="0" shapeId="0">
      <text>
        <t>הערכת עלות כולל משלוח לכל ההזמנה (המארז): מחיר דולרי × 3.7 ₪ + משלוח + ~10% בלת"מ. לאמת מול ספק ספציפי.</t>
      </text>
    </comment>
    <comment ref="D30" authorId="0" shapeId="0">
      <text>
        <t>הערכת עלות כולל משלוח לכל ההזמנה (המארז): מחיר דולרי × 3.7 ₪ + משלוח + ~10% בלת"מ. לאמת מול ספק ספציפי.</t>
      </text>
    </comment>
    <comment ref="D31" authorId="0" shapeId="0">
      <text>
        <t>הערכת עלות כולל משלוח לכל ההזמנה (המארז): מחיר דולרי × 3.7 ₪ + משלוח + ~10% בלת"מ. לאמת מול ספק ספציפי.</t>
      </text>
    </comment>
    <comment ref="D32" authorId="0" shapeId="0">
      <text>
        <t>הערכת עלות כולל משלוח לכל ההזמנה (המארז): מחיר דולרי × 3.7 ₪ + משלוח + ~10% בלת"מ. לאמת מול ספק ספציפי.</t>
      </text>
    </comment>
    <comment ref="D33" authorId="0" shapeId="0">
      <text>
        <t>הערכת עלות כולל משלוח לכל ההזמנה (המארז): מחיר דולרי × 3.7 ₪ + משלוח + ~10% בלת"מ. לאמת מול ספק ספציפי.</t>
      </text>
    </comment>
    <comment ref="D34" authorId="0" shapeId="0">
      <text>
        <t>הערכת עלות כולל משלוח לכל ההזמנה (המארז): מחיר דולרי × 3.7 ₪ + משלוח + ~10% בלת"מ. לאמת מול ספק ספציפי.</t>
      </text>
    </comment>
    <comment ref="D35" authorId="0" shapeId="0">
      <text>
        <t>הערכת עלות כולל משלוח לכל ההזמנה (המארז): מחיר דולרי × 3.7 ₪ + משלוח + ~10% בלת"מ. לאמת מול ספק ספציפי.</t>
      </text>
    </comment>
    <comment ref="D36" authorId="0" shapeId="0">
      <text>
        <t>הערכת עלות כולל משלוח לכל ההזמנה (המארז): מחיר דולרי × 3.7 ₪ + משלוח + ~10% בלת"מ. לאמת מול ספק ספציפי.</t>
      </text>
    </comment>
    <comment ref="D37" authorId="0" shapeId="0">
      <text>
        <t>הערכת עלות כולל משלוח לכל ההזמנה (המארז): מחיר דולרי × 3.7 ₪ + משלוח + ~10% בלת"מ. לאמת מול ספק ספציפי.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he.aliexpress.com/item/1005007320288820.html" TargetMode="External" Id="rId1" /><Relationship Type="http://schemas.openxmlformats.org/officeDocument/2006/relationships/hyperlink" Target="https://drawnbody.net/" TargetMode="External" Id="rId2" /><Relationship Type="http://schemas.openxmlformats.org/officeDocument/2006/relationships/hyperlink" Target="https://lyonrise.com/products/lyonrise-boxers" TargetMode="External" Id="rId3" /><Relationship Type="http://schemas.openxmlformats.org/officeDocument/2006/relationships/hyperlink" Target="https://ventyshop.com/products/boxer" TargetMode="External" Id="rId4" /><Relationship Type="http://schemas.openxmlformats.org/officeDocument/2006/relationships/hyperlink" Target="https://a.aliexpress.com/_c4Dz7fL3" TargetMode="External" Id="rId5" /><Relationship Type="http://schemas.openxmlformats.org/officeDocument/2006/relationships/hyperlink" Target="https://ouraring.com/" TargetMode="External" Id="rId6" /><Relationship Type="http://schemas.openxmlformats.org/officeDocument/2006/relationships/hyperlink" Target="https://ringconn.com/" TargetMode="External" Id="rId7" /><Relationship Type="http://schemas.openxmlformats.org/officeDocument/2006/relationships/hyperlink" Target="https://a.aliexpress.com/_c4LigUpb" TargetMode="External" Id="rId8" /><Relationship Type="http://schemas.openxmlformats.org/officeDocument/2006/relationships/hyperlink" Target="https://a.aliexpress.com/_c4bVR7Ab" TargetMode="External" Id="rId9" /><Relationship Type="http://schemas.openxmlformats.org/officeDocument/2006/relationships/hyperlink" Target="https://anoxil.com/" TargetMode="External" Id="rId10" /><Relationship Type="http://schemas.openxmlformats.org/officeDocument/2006/relationships/hyperlink" Target="https://he.aliexpress.com/w/wholesale-anti-snoring-mouthpiece.html" TargetMode="External" Id="rId11" /><Relationship Type="http://schemas.openxmlformats.org/officeDocument/2006/relationships/hyperlink" Target="https://snoreless.co.il/products/snoreless" TargetMode="External" Id="rId12" /><Relationship Type="http://schemas.openxmlformats.org/officeDocument/2006/relationships/hyperlink" Target="https://a.aliexpress.com/_c3n95goZ" TargetMode="External" Id="rId13" /><Relationship Type="http://schemas.openxmlformats.org/officeDocument/2006/relationships/hyperlink" Target="https://a.aliexpress.com/_c3vNv2UT" TargetMode="External" Id="rId14" /><Relationship Type="http://schemas.openxmlformats.org/officeDocument/2006/relationships/hyperlink" Target="https://mylivia.com/" TargetMode="External" Id="rId15" /><Relationship Type="http://schemas.openxmlformats.org/officeDocument/2006/relationships/hyperlink" Target="https://try-allora.com/" TargetMode="External" Id="rId16" /><Relationship Type="http://schemas.openxmlformats.org/officeDocument/2006/relationships/hyperlink" Target="https://bleesse.com/" TargetMode="External" Id="rId17" /><Relationship Type="http://schemas.openxmlformats.org/officeDocument/2006/relationships/hyperlink" Target="https://he.aliexpress.com/w/wholesale-microneedle-patches.html" TargetMode="External" Id="rId18" /><Relationship Type="http://schemas.openxmlformats.org/officeDocument/2006/relationships/hyperlink" Target="https://breezeil.store/" TargetMode="External" Id="rId19" /><Relationship Type="http://schemas.openxmlformats.org/officeDocument/2006/relationships/hyperlink" Target="https://he.aliexpress.com/w/wholesale-antiperspirant-gel.html" TargetMode="External" Id="rId20" /><Relationship Type="http://schemas.openxmlformats.org/officeDocument/2006/relationships/hyperlink" Target="https://www.store-puredry.com/" TargetMode="External" Id="rId21" /><Relationship Type="http://schemas.openxmlformats.org/officeDocument/2006/relationships/hyperlink" Target="https://he.aliexpress.com/w/wholesale-men-stretch-jeans.html" TargetMode="External" Id="rId22" /><Relationship Type="http://schemas.openxmlformats.org/officeDocument/2006/relationships/hyperlink" Target="https://xsuit.com/" TargetMode="External" Id="rId23" /><Relationship Type="http://schemas.openxmlformats.org/officeDocument/2006/relationships/hyperlink" Target="https://www.mottandbow.com/" TargetMode="External" Id="rId24" /><Relationship Type="http://schemas.openxmlformats.org/officeDocument/2006/relationships/hyperlink" Target="https://www.trueclassictees.com/" TargetMode="External" Id="rId25" /><Relationship Type="http://schemas.openxmlformats.org/officeDocument/2006/relationships/hyperlink" Target="https://he.aliexpress.com/w/wholesale-jelly-strip-wireless-bra.html" TargetMode="External" Id="rId26" /><Relationship Type="http://schemas.openxmlformats.org/officeDocument/2006/relationships/hyperlink" Target="https://virella.co.il/" TargetMode="External" Id="rId27" /><Relationship Type="http://schemas.openxmlformats.org/officeDocument/2006/relationships/hyperlink" Target="https://he.aliexpress.com/w/wholesale-sleep-earbuds-noise.html" TargetMode="External" Id="rId28" /><Relationship Type="http://schemas.openxmlformats.org/officeDocument/2006/relationships/hyperlink" Target="https://ozlosleep.com/" TargetMode="External" Id="rId29" /><Relationship Type="http://schemas.openxmlformats.org/officeDocument/2006/relationships/hyperlink" Target="https://he.aliexpress.com/w/wholesale-mouth-tape-sleep.html" TargetMode="External" Id="rId30" /><Relationship Type="http://schemas.openxmlformats.org/officeDocument/2006/relationships/hyperlink" Target="https://myotape.com/" TargetMode="External" Id="rId31" /><Relationship Type="http://schemas.openxmlformats.org/officeDocument/2006/relationships/hyperlink" Target="https://hostagetape.com/" TargetMode="External" Id="rId32" /><Relationship Type="http://schemas.openxmlformats.org/officeDocument/2006/relationships/hyperlink" Target="https://he.aliexpress.com/w/wholesale-pouch-boxer-briefs-men.html" TargetMode="External" Id="rId33" /><Relationship Type="http://schemas.openxmlformats.org/officeDocument/2006/relationships/hyperlink" Target="https://www.saxxunderwear.com/" TargetMode="External" Id="rId34" /><Relationship Type="http://schemas.openxmlformats.org/officeDocument/2006/relationships/hyperlink" Target="https://he.aliexpress.com/w/wholesale-menstrual-tens-device.html" TargetMode="External" Id="rId35" /><Relationship Type="http://schemas.openxmlformats.org/officeDocument/2006/relationships/hyperlink" Target="https://mylivia.com/" TargetMode="External" Id="rId36" /><Relationship Type="http://schemas.openxmlformats.org/officeDocument/2006/relationships/hyperlink" Target="https://he.aliexpress.com/w/wholesale-silicone-wrinkle-patches.html" TargetMode="External" Id="rId37" /><Relationship Type="http://schemas.openxmlformats.org/officeDocument/2006/relationships/hyperlink" Target="https://siobeauty.com/" TargetMode="External" Id="rId38" /><Relationship Type="http://schemas.openxmlformats.org/officeDocument/2006/relationships/hyperlink" Target="https://frownies.com/" TargetMode="External" Id="rId39" /><Relationship Type="http://schemas.openxmlformats.org/officeDocument/2006/relationships/hyperlink" Target="https://he.aliexpress.com/w/wholesale-men-compression-shapewear-tank.html" TargetMode="External" Id="rId40" /><Relationship Type="http://schemas.openxmlformats.org/officeDocument/2006/relationships/hyperlink" Target="https://he.aliexpress.com/w/wholesale-stretch-non-iron-dress-shirt-men.html" TargetMode="External" Id="rId41" /><Relationship Type="http://schemas.openxmlformats.org/officeDocument/2006/relationships/hyperlink" Target="https://he.aliexpress.com/w/wholesale-underarm-sweat-pads.html" TargetMode="External" Id="rId42" /><Relationship Type="http://schemas.openxmlformats.org/officeDocument/2006/relationships/hyperlink" Target="https://thompsontee.com/" TargetMode="External" Id="rId43" /><Relationship Type="http://schemas.openxmlformats.org/officeDocument/2006/relationships/hyperlink" Target="https://he.aliexpress.com/w/wholesale-night-guard-teeth-grinding.html" TargetMode="External" Id="rId44" /><Relationship Type="http://schemas.openxmlformats.org/officeDocument/2006/relationships/hyperlink" Target="https://he.aliexpress.com/w/wholesale-3d-sleep-mask.html" TargetMode="External" Id="rId45" /><Relationship Type="http://schemas.openxmlformats.org/officeDocument/2006/relationships/hyperlink" Target="https://mantasleep.com/" TargetMode="External" Id="rId46" /><Relationship Type="http://schemas.openxmlformats.org/officeDocument/2006/relationships/hyperlink" Target="https://he.aliexpress.com/w/wholesale-cooling-pillowcase.html" TargetMode="External" Id="rId47" /><Relationship Type="http://schemas.openxmlformats.org/officeDocument/2006/relationships/hyperlink" Target="https://he.aliexpress.com/w/wholesale-bamboo-cooling-sheets.html" TargetMode="External" Id="rId48" /><Relationship Type="http://schemas.openxmlformats.org/officeDocument/2006/relationships/hyperlink" Target="https://cozyearth.com/" TargetMode="External" Id="rId49" /><Relationship Type="http://schemas.openxmlformats.org/officeDocument/2006/relationships/hyperlink" Target="https://he.aliexpress.com/w/wholesale-sunrise-alarm-clock.html" TargetMode="External" Id="rId50" /><Relationship Type="http://schemas.openxmlformats.org/officeDocument/2006/relationships/hyperlink" Target="https://www.hatch.co/" TargetMode="External" Id="rId51" /><Relationship Type="http://schemas.openxmlformats.org/officeDocument/2006/relationships/hyperlink" Target="https://he.aliexpress.com/w/wholesale-seamless-panties-women.html" TargetMode="External" Id="rId52" /><Relationship Type="http://schemas.openxmlformats.org/officeDocument/2006/relationships/hyperlink" Target="https://skims.com/" TargetMode="External" Id="rId53" /><Relationship Type="http://schemas.openxmlformats.org/officeDocument/2006/relationships/hyperlink" Target="https://he.aliexpress.com/w/wholesale-cloud-slides.html" TargetMode="External" Id="rId54" /><Relationship Type="http://schemas.openxmlformats.org/officeDocument/2006/relationships/hyperlink" Target="https://he.aliexpress.com/w/wholesale-travel-neck-pillow-wrap.html" TargetMode="External" Id="rId55" /><Relationship Type="http://schemas.openxmlformats.org/officeDocument/2006/relationships/hyperlink" Target="https://trtltravel.com/" TargetMode="External" Id="rId56" /><Relationship Type="http://schemas.openxmlformats.org/officeDocument/2006/relationships/hyperlink" Target="https://he.aliexpress.com/w/wholesale-scrunch-butt-leggings.html" TargetMode="External" Id="rId57" /><Relationship Type="http://schemas.openxmlformats.org/officeDocument/2006/relationships/hyperlink" Target="https://he.aliexpress.com/w/wholesale-hair-topper-women.html" TargetMode="External" Id="rId58" /><Relationship Type="http://schemas.openxmlformats.org/officeDocument/2006/relationships/hyperlink" Target="https://he.aliexpress.com/w/wholesale-face-lift-tape.html" TargetMode="External" Id="rId59" /><Relationship Type="http://schemas.openxmlformats.org/officeDocument/2006/relationships/hyperlink" Target="https://he.aliexpress.com/w/wholesale-eyebrow-stamp-kit.html" TargetMode="External" Id="rId60" /><Relationship Type="http://schemas.openxmlformats.org/officeDocument/2006/relationships/hyperlink" Target="https://he.aliexpress.com/w/wholesale-magnetic-eyelashes-kit.html" TargetMode="External" Id="rId61" /><Relationship Type="http://schemas.openxmlformats.org/officeDocument/2006/relationships/hyperlink" Target="https://he.aliexpress.com/w/wholesale-root-touch-up-powder.html" TargetMode="External" Id="rId62" /><Relationship Type="http://schemas.openxmlformats.org/officeDocument/2006/relationships/hyperlink" Target="https://he.aliexpress.com/w/wholesale-beard-filling-pen.html" TargetMode="External" Id="rId63" /><Relationship Type="http://schemas.openxmlformats.org/officeDocument/2006/relationships/hyperlink" Target="https://he.aliexpress.com/w/wholesale-back-shaver-men.html" TargetMode="External" Id="rId64" /><Relationship Type="http://schemas.openxmlformats.org/officeDocument/2006/relationships/hyperlink" Target="https://www.bakblade.com/" TargetMode="External" Id="rId65" /><Relationship Type="http://schemas.openxmlformats.org/officeDocument/2006/relationships/hyperlink" Target="https://he.aliexpress.com/w/wholesale-heatless-curling-rod.html" TargetMode="External" Id="rId66" /><Relationship Type="http://schemas.openxmlformats.org/officeDocument/2006/relationships/hyperlink" Target="https://mykitsch.com/" TargetMode="External" Id="rId6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37"/>
  <sheetViews>
    <sheetView rightToLeft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38" customWidth="1" style="46" min="1" max="2"/>
    <col width="45" customWidth="1" style="46" min="3" max="3"/>
    <col width="16" customWidth="1" style="46" min="4" max="17"/>
    <col width="32" customWidth="1" style="46" min="18" max="20"/>
    <col width="10" customWidth="1" style="46" min="21" max="21"/>
    <col width="125" customWidth="1" style="46" min="22" max="22"/>
  </cols>
  <sheetData>
    <row r="1" ht="66" customHeight="1" s="46">
      <c r="A1" s="1" t="inlineStr">
        <is>
          <t>תמונת מוצר</t>
        </is>
      </c>
      <c r="B1" s="2" t="inlineStr">
        <is>
          <t>שם המוצר</t>
        </is>
      </c>
      <c r="C1" s="2" t="inlineStr">
        <is>
          <t>קישור אליאקספרס</t>
        </is>
      </c>
      <c r="D1" s="2" t="inlineStr">
        <is>
          <t>עלות כולל משלוח</t>
        </is>
      </c>
      <c r="E1" s="2" t="inlineStr">
        <is>
          <t>מחיר מכירה פוטנציאלי</t>
        </is>
      </c>
      <c r="F1" s="2" t="inlineStr">
        <is>
          <t>מרווח Gross Margin לפני מע״מ (אחרי עמלות סליקה) - עוסק פטור</t>
        </is>
      </c>
      <c r="G1" s="2" t="inlineStr">
        <is>
          <t>אחוז מרווח פוטנציאלי אחרי עמלות, לפני מע״מ (עוסק פטור)</t>
        </is>
      </c>
      <c r="H1" s="2" t="inlineStr">
        <is>
          <t>ברייק איוון ROAS - עוסק פטור | נקודת איזון</t>
        </is>
      </c>
      <c r="I1" s="2" t="inlineStr">
        <is>
          <t>אחוז רווחיות בROAS של 4</t>
        </is>
      </c>
      <c r="J1" s="2" t="inlineStr">
        <is>
          <t>אחוז רווחיות בROAS של 3</t>
        </is>
      </c>
      <c r="K1" s="2" t="inlineStr">
        <is>
          <t>אחוז רווחיות בROAS של 2.5</t>
        </is>
      </c>
      <c r="L1" s="2" t="inlineStr">
        <is>
          <t>מרווח Gross Margin לפני מע״מ (אחרי עמלות סליקה) - עוסק מורשה</t>
        </is>
      </c>
      <c r="M1" s="2" t="inlineStr">
        <is>
          <t>אחוז מרווח פוטנציאלי אחרי מע״מ ועמלות</t>
        </is>
      </c>
      <c r="N1" s="2" t="inlineStr">
        <is>
          <t>ברייק איוון ROAS - עוסק מורשה / חברה בע״מ | נקודת איזון</t>
        </is>
      </c>
      <c r="O1" s="2" t="inlineStr">
        <is>
          <t>אחוז רווחיות בROAS של 4</t>
        </is>
      </c>
      <c r="P1" s="2" t="inlineStr">
        <is>
          <t>אחוז רווחיות בROAS של 3</t>
        </is>
      </c>
      <c r="Q1" s="2" t="inlineStr">
        <is>
          <t>אחוז רווחיות בROAS של 2.5</t>
        </is>
      </c>
      <c r="R1" s="2" t="inlineStr">
        <is>
          <t>דוגמה לאתר מתחרה #1</t>
        </is>
      </c>
      <c r="S1" s="2" t="inlineStr">
        <is>
          <t>דוגמה לאתר מתחרה #2</t>
        </is>
      </c>
      <c r="T1" s="2" t="inlineStr">
        <is>
          <t>דוגמה לאתר מתחרה #3</t>
        </is>
      </c>
      <c r="U1" s="2" t="inlineStr">
        <is>
          <t>דירוג</t>
        </is>
      </c>
      <c r="V1" s="2" t="inlineStr">
        <is>
          <t>למה בחרתי את המוצר, למי הוא פותר בעיה ואיזו בעיה</t>
        </is>
      </c>
    </row>
    <row r="2" ht="129.75" customHeight="1" s="46">
      <c r="A2" s="47" t="n"/>
      <c r="B2" s="48" t="inlineStr">
        <is>
          <t>בוקסר במבוק לגברים — מארז 7 ("שבוע שלם")</t>
        </is>
      </c>
      <c r="C2" s="49" t="inlineStr">
        <is>
          <t>https://he.aliexpress.com/item/1005007320288820.html</t>
        </is>
      </c>
      <c r="D2" s="50" t="n">
        <v>90</v>
      </c>
      <c r="E2" s="50" t="n">
        <v>299.9</v>
      </c>
      <c r="F2" s="50">
        <f>E2-D2</f>
        <v/>
      </c>
      <c r="G2" s="51">
        <f>(F2/E2)</f>
        <v/>
      </c>
      <c r="H2" s="52">
        <f>1/G2</f>
        <v/>
      </c>
      <c r="I2" s="51">
        <f>(F2-(0.25*E2))/E2</f>
        <v/>
      </c>
      <c r="J2" s="51">
        <f>(F2-(0.33*E2))/E2</f>
        <v/>
      </c>
      <c r="K2" s="51">
        <f>(F2-(0.4*E2))/E2</f>
        <v/>
      </c>
      <c r="L2" s="50">
        <f>F2-(E2*0.15)</f>
        <v/>
      </c>
      <c r="M2" s="51">
        <f>(L2/E2)</f>
        <v/>
      </c>
      <c r="N2" s="53">
        <f>1/M2</f>
        <v/>
      </c>
      <c r="O2" s="51">
        <f>(L2-(0.25*E2))/E2</f>
        <v/>
      </c>
      <c r="P2" s="51">
        <f>(L2-(0.33*E2))/E2</f>
        <v/>
      </c>
      <c r="Q2" s="51">
        <f>(L2-(0.4*E2))/E2</f>
        <v/>
      </c>
      <c r="R2" s="54" t="inlineStr">
        <is>
          <t>https://drawnbody.net/</t>
        </is>
      </c>
      <c r="S2" s="54" t="inlineStr">
        <is>
          <t>https://lyonrise.com/products/lyonrise-boxers</t>
        </is>
      </c>
      <c r="T2" s="55" t="inlineStr">
        <is>
          <t>https://ventyshop.com/products/boxer</t>
        </is>
      </c>
      <c r="U2" s="56" t="n">
        <v>1</v>
      </c>
      <c r="V2" s="48" t="inlineStr">
        <is>
          <t>[בחירה של אביאל] המוצר שהמנטור הכי אהב. פותר בעיה לגברים 20-50 שמזיעים ומרגישים לא נוח בתחתון בקיץ הישראלי. 3 זוויות חזקות: הזעה וחום, ריח טוב יותר באזור האינטימי (LF8 #3 — סקס מוצלח יותר), ונוחות כל היום. מנגנון במשפט אחד: סיבי במבוק נושמים ואנטי-בקטריאליים. תוצאה מורגשת ביום הראשון. מנוף AOV טבעי: מארז 7 = שבוע שלם + אפסיילים (גרביים, גופייה נגד הזעה). DrawnBody מוכרים ב-43–55 ₪ ליחידה ומודעה שלהם רצה מ-5.3.2026 (~7 חודשים). סיכון: מידות; גם דלתא ונאוטיקה מוכרות במבוק, לכן הבידול צריך להגיע מהזווית וההצעה.</t>
        </is>
      </c>
    </row>
    <row r="3" ht="129.75" customHeight="1" s="46">
      <c r="A3" s="47" t="n"/>
      <c r="B3" s="48" t="inlineStr">
        <is>
          <t>טבעת חכמה לניטור שינה וביצועים</t>
        </is>
      </c>
      <c r="C3" s="49" t="inlineStr">
        <is>
          <t>https://a.aliexpress.com/_c4Dz7fL3</t>
        </is>
      </c>
      <c r="D3" s="50" t="n">
        <v>139</v>
      </c>
      <c r="E3" s="50" t="n">
        <v>449.9</v>
      </c>
      <c r="F3" s="50">
        <f>E3-D3</f>
        <v/>
      </c>
      <c r="G3" s="51">
        <f>(F3/E3)</f>
        <v/>
      </c>
      <c r="H3" s="52">
        <f>1/G3</f>
        <v/>
      </c>
      <c r="I3" s="51">
        <f>(F3-(0.25*E3))/E3</f>
        <v/>
      </c>
      <c r="J3" s="51">
        <f>(F3-(0.33*E3))/E3</f>
        <v/>
      </c>
      <c r="K3" s="51">
        <f>(F3-(0.4*E3))/E3</f>
        <v/>
      </c>
      <c r="L3" s="50">
        <f>F3-(E3*0.15)</f>
        <v/>
      </c>
      <c r="M3" s="51">
        <f>(L3/E3)</f>
        <v/>
      </c>
      <c r="N3" s="53">
        <f>1/M3</f>
        <v/>
      </c>
      <c r="O3" s="51">
        <f>(L3-(0.25*E3))/E3</f>
        <v/>
      </c>
      <c r="P3" s="51">
        <f>(L3-(0.33*E3))/E3</f>
        <v/>
      </c>
      <c r="Q3" s="51">
        <f>(L3-(0.4*E3))/E3</f>
        <v/>
      </c>
      <c r="R3" s="54" t="inlineStr">
        <is>
          <t>https://ouraring.com/</t>
        </is>
      </c>
      <c r="S3" s="54" t="inlineStr">
        <is>
          <t>https://ringconn.com/</t>
        </is>
      </c>
      <c r="T3" s="55" t="n"/>
      <c r="U3" s="56" t="n">
        <v>3</v>
      </c>
      <c r="V3" s="48" t="inlineStr">
        <is>
          <t>[בחירה של אביאל] פותר בעיה לגברים ונשים 25-45 שמתאמנים, עובדים הרבה וקמים עייפים בלי להבין למה. LF8 #1 בריאות + #5 ביצועים. עוגן מחיר גבוה מאוד: Oura נמכרת בישראל ב-~1,500 ₪, אז הזווית "כמו Oura בשליש מהמחיר" עובדת. יותר פרימיום ופחות בולטת מצמיד. בספריית המודעות הישראלית יש ~22 מודעות, רובן משווקי Oura. סיכון: אלקטרוניקה = החזרות, ומידות טבעת (לשלוח ערכת מידות).</t>
        </is>
      </c>
    </row>
    <row r="4" ht="129.75" customHeight="1" s="46">
      <c r="A4" s="47" t="n"/>
      <c r="B4" s="48" t="inlineStr">
        <is>
          <t>מדרסים בלתי נראים להגבהת הגובה (2 זוגות)</t>
        </is>
      </c>
      <c r="C4" s="49" t="inlineStr">
        <is>
          <t>https://a.aliexpress.com/_c4LigUpb</t>
        </is>
      </c>
      <c r="D4" s="50" t="n">
        <v>40</v>
      </c>
      <c r="E4" s="50" t="n">
        <v>199.9</v>
      </c>
      <c r="F4" s="50">
        <f>E4-D4</f>
        <v/>
      </c>
      <c r="G4" s="51">
        <f>(F4/E4)</f>
        <v/>
      </c>
      <c r="H4" s="52">
        <f>1/G4</f>
        <v/>
      </c>
      <c r="I4" s="51">
        <f>(F4-(0.25*E4))/E4</f>
        <v/>
      </c>
      <c r="J4" s="51">
        <f>(F4-(0.33*E4))/E4</f>
        <v/>
      </c>
      <c r="K4" s="51">
        <f>(F4-(0.4*E4))/E4</f>
        <v/>
      </c>
      <c r="L4" s="50">
        <f>F4-(E4*0.15)</f>
        <v/>
      </c>
      <c r="M4" s="51">
        <f>(L4/E4)</f>
        <v/>
      </c>
      <c r="N4" s="53">
        <f>1/M4</f>
        <v/>
      </c>
      <c r="O4" s="51">
        <f>(L4-(0.25*E4))/E4</f>
        <v/>
      </c>
      <c r="P4" s="51">
        <f>(L4-(0.33*E4))/E4</f>
        <v/>
      </c>
      <c r="Q4" s="51">
        <f>(L4-(0.4*E4))/E4</f>
        <v/>
      </c>
      <c r="R4" s="54" t="n"/>
      <c r="S4" s="54" t="n"/>
      <c r="T4" s="55" t="n"/>
      <c r="U4" s="56" t="n">
        <v>4</v>
      </c>
      <c r="V4" s="48" t="inlineStr">
        <is>
          <t>[בחירה של אביאל] פותר בעיה לגברים 18-45 שמתביישים בגובה שלהם — בדייטים, בתמונות, באירועים. LF8 #3 משיכה + #5 מעמד. תוצאה מיידית: +3–6 ס"מ בשניות, מוסתר בתוך הנעל. בספריית המודעות הישראלית אין כמעט אף מודעה רלוונטית, כך שיש שטח פנוי. AOV: 2 זוגות (לנעלי יום ולנעלי ערב).</t>
        </is>
      </c>
    </row>
    <row r="5" ht="129.75" customHeight="1" s="46">
      <c r="A5" s="47" t="n"/>
      <c r="B5" s="48" t="inlineStr">
        <is>
          <t>צמיד חכם לניטור שינה וביצועים</t>
        </is>
      </c>
      <c r="C5" s="49" t="inlineStr">
        <is>
          <t>https://a.aliexpress.com/_c4bVR7Ab</t>
        </is>
      </c>
      <c r="D5" s="50" t="n">
        <v>62</v>
      </c>
      <c r="E5" s="50" t="n">
        <v>249.9</v>
      </c>
      <c r="F5" s="50">
        <f>E5-D5</f>
        <v/>
      </c>
      <c r="G5" s="51">
        <f>(F5/E5)</f>
        <v/>
      </c>
      <c r="H5" s="52">
        <f>1/G5</f>
        <v/>
      </c>
      <c r="I5" s="51">
        <f>(F5-(0.25*E5))/E5</f>
        <v/>
      </c>
      <c r="J5" s="51">
        <f>(F5-(0.33*E5))/E5</f>
        <v/>
      </c>
      <c r="K5" s="51">
        <f>(F5-(0.4*E5))/E5</f>
        <v/>
      </c>
      <c r="L5" s="50">
        <f>F5-(E5*0.15)</f>
        <v/>
      </c>
      <c r="M5" s="51">
        <f>(L5/E5)</f>
        <v/>
      </c>
      <c r="N5" s="53">
        <f>1/M5</f>
        <v/>
      </c>
      <c r="O5" s="51">
        <f>(L5-(0.25*E5))/E5</f>
        <v/>
      </c>
      <c r="P5" s="51">
        <f>(L5-(0.33*E5))/E5</f>
        <v/>
      </c>
      <c r="Q5" s="51">
        <f>(L5-(0.4*E5))/E5</f>
        <v/>
      </c>
      <c r="R5" s="54" t="inlineStr">
        <is>
          <t>https://anoxil.com/</t>
        </is>
      </c>
      <c r="S5" s="54" t="n"/>
      <c r="T5" s="55" t="n"/>
      <c r="U5" s="56" t="n">
        <v>7</v>
      </c>
      <c r="V5" s="48" t="inlineStr">
        <is>
          <t>[בחירה של אביאל] הרצון לדעת אם הגוף באמת מתאושש. LF8 #1 + #5. הזווית "כמו WHOOP ברבע מהמחיר". הטבעת (שורה למעלה) היא אותו רצון בגרסה פרימיום יותר עם עוגן מחיר גבוה יותר, אז כדאי לבחור אחד מהשניים או לבדוק את שניהם בטסט.</t>
        </is>
      </c>
    </row>
    <row r="6" ht="129.75" customHeight="1" s="46">
      <c r="A6" s="47" t="n"/>
      <c r="B6" s="48" t="inlineStr">
        <is>
          <t>התקן לפה נגד נחירות (כמו Snoreless)</t>
        </is>
      </c>
      <c r="C6" s="49" t="inlineStr">
        <is>
          <t>https://he.aliexpress.com/w/wholesale-anti-snoring-mouthpiece.html</t>
        </is>
      </c>
      <c r="D6" s="50" t="n">
        <v>30</v>
      </c>
      <c r="E6" s="50" t="n">
        <v>199.9</v>
      </c>
      <c r="F6" s="50">
        <f>E6-D6</f>
        <v/>
      </c>
      <c r="G6" s="51">
        <f>(F6/E6)</f>
        <v/>
      </c>
      <c r="H6" s="52">
        <f>1/G6</f>
        <v/>
      </c>
      <c r="I6" s="51">
        <f>(F6-(0.25*E6))/E6</f>
        <v/>
      </c>
      <c r="J6" s="51">
        <f>(F6-(0.33*E6))/E6</f>
        <v/>
      </c>
      <c r="K6" s="51">
        <f>(F6-(0.4*E6))/E6</f>
        <v/>
      </c>
      <c r="L6" s="50">
        <f>F6-(E6*0.15)</f>
        <v/>
      </c>
      <c r="M6" s="51">
        <f>(L6/E6)</f>
        <v/>
      </c>
      <c r="N6" s="53">
        <f>1/M6</f>
        <v/>
      </c>
      <c r="O6" s="51">
        <f>(L6-(0.25*E6))/E6</f>
        <v/>
      </c>
      <c r="P6" s="51">
        <f>(L6-(0.33*E6))/E6</f>
        <v/>
      </c>
      <c r="Q6" s="51">
        <f>(L6-(0.4*E6))/E6</f>
        <v/>
      </c>
      <c r="R6" s="54" t="inlineStr">
        <is>
          <t>https://snoreless.co.il/products/snoreless</t>
        </is>
      </c>
      <c r="S6" s="54" t="n"/>
      <c r="T6" s="55" t="n"/>
      <c r="U6" s="56" t="n">
        <v>5</v>
      </c>
      <c r="V6" s="48" t="inlineStr">
        <is>
          <t>[בחירה של אביאל] מתחרה ישראלי קיים (Snoreless), כלומר יש הוכחת שוק מקומית. תוצאה כבר בלילה הראשון. זווית חזקה: בן/בת הזוג שלא ישנים, לישון באותה מיטה שוב. LF8 #3 + #1. AOV: זוג (שלו ושלה) או התקן + טייפ לפה. לא ראיתי את מחיר Snoreless (האתר חסום אצלי), המחיר כאן הוא הערכה.</t>
        </is>
      </c>
    </row>
    <row r="7" ht="129.75" customHeight="1" s="46">
      <c r="A7" s="47" t="n"/>
      <c r="B7" s="48" t="inlineStr">
        <is>
          <t>אוברול מחטב לנשים</t>
        </is>
      </c>
      <c r="C7" s="49" t="inlineStr">
        <is>
          <t>https://a.aliexpress.com/_c3n95goZ</t>
        </is>
      </c>
      <c r="D7" s="50" t="n">
        <v>60</v>
      </c>
      <c r="E7" s="50" t="n">
        <v>219.9</v>
      </c>
      <c r="F7" s="50">
        <f>E7-D7</f>
        <v/>
      </c>
      <c r="G7" s="51">
        <f>(F7/E7)</f>
        <v/>
      </c>
      <c r="H7" s="52">
        <f>1/G7</f>
        <v/>
      </c>
      <c r="I7" s="51">
        <f>(F7-(0.25*E7))/E7</f>
        <v/>
      </c>
      <c r="J7" s="51">
        <f>(F7-(0.33*E7))/E7</f>
        <v/>
      </c>
      <c r="K7" s="51">
        <f>(F7-(0.4*E7))/E7</f>
        <v/>
      </c>
      <c r="L7" s="50">
        <f>F7-(E7*0.15)</f>
        <v/>
      </c>
      <c r="M7" s="51">
        <f>(L7/E7)</f>
        <v/>
      </c>
      <c r="N7" s="53">
        <f>1/M7</f>
        <v/>
      </c>
      <c r="O7" s="51">
        <f>(L7-(0.25*E7))/E7</f>
        <v/>
      </c>
      <c r="P7" s="51">
        <f>(L7-(0.33*E7))/E7</f>
        <v/>
      </c>
      <c r="Q7" s="51">
        <f>(L7-(0.4*E7))/E7</f>
        <v/>
      </c>
      <c r="R7" s="54" t="n"/>
      <c r="S7" s="54" t="n"/>
      <c r="T7" s="55" t="n"/>
      <c r="U7" s="56" t="n">
        <v>6</v>
      </c>
      <c r="V7" s="48" t="inlineStr">
        <is>
          <t>[בחירה של אביאל] שיפור נראות וביטחון עצמי מיידי: הבגד יושב אחרת ברגע שלובשים. LF8 #3 + #5. לפני/אחרי ויזואלי חזק. מתחרים בישראל: Curvee ו-Seeya Active מריצים מחטבים. AOV: 2 צבעים (שחור + גוף). סיכון: מידות, צריך טבלת מידות מדויקת והחלפה חינם.</t>
        </is>
      </c>
    </row>
    <row r="8" ht="129.75" customHeight="1" s="46">
      <c r="A8" s="47" t="n"/>
      <c r="B8" s="48" t="inlineStr">
        <is>
          <t>מכשיר להקלת כאבי מחזור (חימום + רטט)</t>
        </is>
      </c>
      <c r="C8" s="49" t="inlineStr">
        <is>
          <t>https://a.aliexpress.com/_c3vNv2UT</t>
        </is>
      </c>
      <c r="D8" s="50" t="n">
        <v>30</v>
      </c>
      <c r="E8" s="50" t="n">
        <v>189.9</v>
      </c>
      <c r="F8" s="50">
        <f>E8-D8</f>
        <v/>
      </c>
      <c r="G8" s="51">
        <f>(F8/E8)</f>
        <v/>
      </c>
      <c r="H8" s="52">
        <f>1/G8</f>
        <v/>
      </c>
      <c r="I8" s="51">
        <f>(F8-(0.25*E8))/E8</f>
        <v/>
      </c>
      <c r="J8" s="51">
        <f>(F8-(0.33*E8))/E8</f>
        <v/>
      </c>
      <c r="K8" s="51">
        <f>(F8-(0.4*E8))/E8</f>
        <v/>
      </c>
      <c r="L8" s="50">
        <f>F8-(E8*0.15)</f>
        <v/>
      </c>
      <c r="M8" s="51">
        <f>(L8/E8)</f>
        <v/>
      </c>
      <c r="N8" s="53">
        <f>1/M8</f>
        <v/>
      </c>
      <c r="O8" s="51">
        <f>(L8-(0.25*E8))/E8</f>
        <v/>
      </c>
      <c r="P8" s="51">
        <f>(L8-(0.33*E8))/E8</f>
        <v/>
      </c>
      <c r="Q8" s="51">
        <f>(L8-(0.4*E8))/E8</f>
        <v/>
      </c>
      <c r="R8" s="54" t="inlineStr">
        <is>
          <t>https://mylivia.com/</t>
        </is>
      </c>
      <c r="S8" s="54" t="inlineStr">
        <is>
          <t>https://try-allora.com/</t>
        </is>
      </c>
      <c r="T8" s="55" t="inlineStr">
        <is>
          <t>https://bleesse.com/</t>
        </is>
      </c>
      <c r="U8" s="56" t="n">
        <v>8</v>
      </c>
      <c r="V8" s="48" t="inlineStr">
        <is>
          <t>[בחירה של אביאל] הבעיה קיימת אצל כל אישה, חוזרת כל חודש, והקהל מתחדש כל שנה. נשים 15-45 שהכאבים משבשים להן יום עבודה או לימודים. הפתרונות הקיימים גרועים: כדורים או כרית חום שדורשת להישאר במיטה. LF8 #1 + #4. זווית נוספת: מתנה לבת הזוג.</t>
        </is>
      </c>
    </row>
    <row r="9" ht="129.75" customHeight="1" s="46">
      <c r="A9" s="47" t="n"/>
      <c r="B9" s="48" t="inlineStr">
        <is>
          <t>מדבקות מיקרו-מחטים (כמו Breeze)</t>
        </is>
      </c>
      <c r="C9" s="49" t="inlineStr">
        <is>
          <t>https://he.aliexpress.com/w/wholesale-microneedle-patches.html</t>
        </is>
      </c>
      <c r="D9" s="50" t="n">
        <v>30</v>
      </c>
      <c r="E9" s="50" t="n">
        <v>169.9</v>
      </c>
      <c r="F9" s="50">
        <f>E9-D9</f>
        <v/>
      </c>
      <c r="G9" s="51">
        <f>(F9/E9)</f>
        <v/>
      </c>
      <c r="H9" s="52">
        <f>1/G9</f>
        <v/>
      </c>
      <c r="I9" s="51">
        <f>(F9-(0.25*E9))/E9</f>
        <v/>
      </c>
      <c r="J9" s="51">
        <f>(F9-(0.33*E9))/E9</f>
        <v/>
      </c>
      <c r="K9" s="51">
        <f>(F9-(0.4*E9))/E9</f>
        <v/>
      </c>
      <c r="L9" s="50">
        <f>F9-(E9*0.15)</f>
        <v/>
      </c>
      <c r="M9" s="51">
        <f>(L9/E9)</f>
        <v/>
      </c>
      <c r="N9" s="53">
        <f>1/M9</f>
        <v/>
      </c>
      <c r="O9" s="51">
        <f>(L9-(0.25*E9))/E9</f>
        <v/>
      </c>
      <c r="P9" s="51">
        <f>(L9-(0.33*E9))/E9</f>
        <v/>
      </c>
      <c r="Q9" s="51">
        <f>(L9-(0.4*E9))/E9</f>
        <v/>
      </c>
      <c r="R9" s="54" t="inlineStr">
        <is>
          <t>https://breezeil.store/</t>
        </is>
      </c>
      <c r="S9" s="54" t="n"/>
      <c r="T9" s="55" t="n"/>
      <c r="U9" s="56" t="n">
        <v>10</v>
      </c>
      <c r="V9" s="48" t="inlineStr">
        <is>
          <t>[בחירה של אביאל] מתחרה ישראלי קיים (Breeze). תוצאה נראית בבוקר שאחרי, מנגנון במשפט אחד (מיקרו-מחטים שמתמוססים בעור). מוצר מתכלה = קנייה חוזרת ומנוי. לא ראיתי את מחיר Breeze (האתר חסום אצלי), המחיר כאן הוא הערכה.</t>
        </is>
      </c>
    </row>
    <row r="10" ht="129.75" customHeight="1" s="46">
      <c r="A10" s="47" t="n"/>
      <c r="B10" s="48" t="inlineStr">
        <is>
          <t>ג'ל מנטרל זיעה (כמו PureDry)</t>
        </is>
      </c>
      <c r="C10" s="49" t="inlineStr">
        <is>
          <t>https://he.aliexpress.com/w/wholesale-antiperspirant-gel.html</t>
        </is>
      </c>
      <c r="D10" s="50" t="n">
        <v>25</v>
      </c>
      <c r="E10" s="50" t="n">
        <v>149.9</v>
      </c>
      <c r="F10" s="50">
        <f>E10-D10</f>
        <v/>
      </c>
      <c r="G10" s="51">
        <f>(F10/E10)</f>
        <v/>
      </c>
      <c r="H10" s="52">
        <f>1/G10</f>
        <v/>
      </c>
      <c r="I10" s="51">
        <f>(F10-(0.25*E10))/E10</f>
        <v/>
      </c>
      <c r="J10" s="51">
        <f>(F10-(0.33*E10))/E10</f>
        <v/>
      </c>
      <c r="K10" s="51">
        <f>(F10-(0.4*E10))/E10</f>
        <v/>
      </c>
      <c r="L10" s="50">
        <f>F10-(E10*0.15)</f>
        <v/>
      </c>
      <c r="M10" s="51">
        <f>(L10/E10)</f>
        <v/>
      </c>
      <c r="N10" s="53">
        <f>1/M10</f>
        <v/>
      </c>
      <c r="O10" s="51">
        <f>(L10-(0.25*E10))/E10</f>
        <v/>
      </c>
      <c r="P10" s="51">
        <f>(L10-(0.33*E10))/E10</f>
        <v/>
      </c>
      <c r="Q10" s="51">
        <f>(L10-(0.4*E10))/E10</f>
        <v/>
      </c>
      <c r="R10" s="54" t="inlineStr">
        <is>
          <t>https://www.store-puredry.com/</t>
        </is>
      </c>
      <c r="S10" s="54" t="n"/>
      <c r="T10" s="55" t="n"/>
      <c r="U10" s="56" t="n">
        <v>11</v>
      </c>
      <c r="V10" s="48" t="inlineStr">
        <is>
          <t>[בחירה של אביאל] מתחרה ישראלי קיים (PureDry). מבוכה מזיעה = LF8 #5. תוצאה מיידית. ⚠️ זה מוצר שנמרח על העור, ובקורס ממליצים להימנע מתכשירים לעור בלי פורמולה ואחריות משלנו. כדאי לשקול את מגני הזיעה (בהמשך) כחלופה בלי הסיכון.</t>
        </is>
      </c>
    </row>
    <row r="11" ht="129.75" customHeight="1" s="46">
      <c r="A11" s="47" t="n"/>
      <c r="B11" s="48" t="inlineStr">
        <is>
          <t>ג'ינס גמיש לגברים (סטייל + חופש תנועה)</t>
        </is>
      </c>
      <c r="C11" s="49" t="inlineStr">
        <is>
          <t>https://he.aliexpress.com/w/wholesale-men-stretch-jeans.html</t>
        </is>
      </c>
      <c r="D11" s="50" t="n">
        <v>80</v>
      </c>
      <c r="E11" s="50" t="n">
        <v>249.9</v>
      </c>
      <c r="F11" s="50">
        <f>E11-D11</f>
        <v/>
      </c>
      <c r="G11" s="51">
        <f>(F11/E11)</f>
        <v/>
      </c>
      <c r="H11" s="52">
        <f>1/G11</f>
        <v/>
      </c>
      <c r="I11" s="51">
        <f>(F11-(0.25*E11))/E11</f>
        <v/>
      </c>
      <c r="J11" s="51">
        <f>(F11-(0.33*E11))/E11</f>
        <v/>
      </c>
      <c r="K11" s="51">
        <f>(F11-(0.4*E11))/E11</f>
        <v/>
      </c>
      <c r="L11" s="50">
        <f>F11-(E11*0.15)</f>
        <v/>
      </c>
      <c r="M11" s="51">
        <f>(L11/E11)</f>
        <v/>
      </c>
      <c r="N11" s="53">
        <f>1/M11</f>
        <v/>
      </c>
      <c r="O11" s="51">
        <f>(L11-(0.25*E11))/E11</f>
        <v/>
      </c>
      <c r="P11" s="51">
        <f>(L11-(0.33*E11))/E11</f>
        <v/>
      </c>
      <c r="Q11" s="51">
        <f>(L11-(0.4*E11))/E11</f>
        <v/>
      </c>
      <c r="R11" s="54" t="inlineStr">
        <is>
          <t>https://xsuit.com/</t>
        </is>
      </c>
      <c r="S11" s="54" t="inlineStr">
        <is>
          <t>https://www.mottandbow.com/</t>
        </is>
      </c>
      <c r="T11" s="55" t="inlineStr">
        <is>
          <t>https://www.trueclassictees.com/</t>
        </is>
      </c>
      <c r="U11" s="56" t="n">
        <v>12</v>
      </c>
      <c r="V11" s="48" t="inlineStr">
        <is>
          <t>[בחירה של אביאל] להיראות בסטייל בלי להרגיש מוגבל בתנועה. LF8 #4 + #5. מנגנון: בד Stretch. ⚠️ ביגוד ומידות: בקורס ממליצים להימנע מזה כמתחילים, והמרווח כאן צמוד (×3.1). לא היה קישור לאלי, זה קישור לחיפוש.</t>
        </is>
      </c>
    </row>
    <row r="12" ht="129.75" customHeight="1" s="46">
      <c r="A12" s="47" t="n"/>
      <c r="B12" s="48" t="inlineStr">
        <is>
          <t>חזיית ג'לי ללא ברזלים — מארז 3</t>
        </is>
      </c>
      <c r="C12" s="49" t="inlineStr">
        <is>
          <t>https://he.aliexpress.com/w/wholesale-jelly-strip-wireless-bra.html</t>
        </is>
      </c>
      <c r="D12" s="50" t="n">
        <v>100</v>
      </c>
      <c r="E12" s="50" t="n">
        <v>299.9</v>
      </c>
      <c r="F12" s="50">
        <f>E12-D12</f>
        <v/>
      </c>
      <c r="G12" s="51">
        <f>(F12/E12)</f>
        <v/>
      </c>
      <c r="H12" s="52">
        <f>1/G12</f>
        <v/>
      </c>
      <c r="I12" s="51">
        <f>(F12-(0.25*E12))/E12</f>
        <v/>
      </c>
      <c r="J12" s="51">
        <f>(F12-(0.33*E12))/E12</f>
        <v/>
      </c>
      <c r="K12" s="51">
        <f>(F12-(0.4*E12))/E12</f>
        <v/>
      </c>
      <c r="L12" s="50">
        <f>F12-(E12*0.15)</f>
        <v/>
      </c>
      <c r="M12" s="51">
        <f>(L12/E12)</f>
        <v/>
      </c>
      <c r="N12" s="53">
        <f>1/M12</f>
        <v/>
      </c>
      <c r="O12" s="51">
        <f>(L12-(0.25*E12))/E12</f>
        <v/>
      </c>
      <c r="P12" s="51">
        <f>(L12-(0.33*E12))/E12</f>
        <v/>
      </c>
      <c r="Q12" s="51">
        <f>(L12-(0.4*E12))/E12</f>
        <v/>
      </c>
      <c r="R12" s="54" t="inlineStr">
        <is>
          <t>https://virella.co.il/</t>
        </is>
      </c>
      <c r="S12" s="54" t="n"/>
      <c r="T12" s="55" t="n"/>
      <c r="U12" s="56" t="n">
        <v>2</v>
      </c>
      <c r="V12" s="48" t="inlineStr">
        <is>
          <t>[נוחות + נראות] "הרגע שמורידים את החזייה — כל היום". נשים 25-60 שסובלות מברזלים ולחץ. LF8 #4 + #3. הוכחה חזקה בישראל: מודעה של Virella רצה 188 יום, עם הצעת "2+1 מתנה". תוצאה מיידית ומארז טבעי.</t>
        </is>
      </c>
    </row>
    <row r="13" ht="129.75" customHeight="1" s="46">
      <c r="A13" s="47" t="n"/>
      <c r="B13" s="48" t="inlineStr">
        <is>
          <t>אוזניות שינה זעירות — "בשבילה, כשהוא נוחר"</t>
        </is>
      </c>
      <c r="C13" s="49" t="inlineStr">
        <is>
          <t>https://he.aliexpress.com/w/wholesale-sleep-earbuds-noise.html</t>
        </is>
      </c>
      <c r="D13" s="50" t="n">
        <v>95</v>
      </c>
      <c r="E13" s="50" t="n">
        <v>299.9</v>
      </c>
      <c r="F13" s="50">
        <f>E13-D13</f>
        <v/>
      </c>
      <c r="G13" s="51">
        <f>(F13/E13)</f>
        <v/>
      </c>
      <c r="H13" s="52">
        <f>1/G13</f>
        <v/>
      </c>
      <c r="I13" s="51">
        <f>(F13-(0.25*E13))/E13</f>
        <v/>
      </c>
      <c r="J13" s="51">
        <f>(F13-(0.33*E13))/E13</f>
        <v/>
      </c>
      <c r="K13" s="51">
        <f>(F13-(0.4*E13))/E13</f>
        <v/>
      </c>
      <c r="L13" s="50">
        <f>F13-(E13*0.15)</f>
        <v/>
      </c>
      <c r="M13" s="51">
        <f>(L13/E13)</f>
        <v/>
      </c>
      <c r="N13" s="53">
        <f>1/M13</f>
        <v/>
      </c>
      <c r="O13" s="51">
        <f>(L13-(0.25*E13))/E13</f>
        <v/>
      </c>
      <c r="P13" s="51">
        <f>(L13-(0.33*E13))/E13</f>
        <v/>
      </c>
      <c r="Q13" s="51">
        <f>(L13-(0.4*E13))/E13</f>
        <v/>
      </c>
      <c r="R13" s="54" t="inlineStr">
        <is>
          <t>https://ozlosleep.com/</t>
        </is>
      </c>
      <c r="S13" s="54" t="n"/>
      <c r="T13" s="55" t="n"/>
      <c r="U13" s="56" t="n">
        <v>9</v>
      </c>
      <c r="V13" s="48" t="inlineStr">
        <is>
          <t>[נחירות] זווית שאף אחד בישראל לא עובד: הצד שסובל מהנחירות. בספריית המודעות הישראלית יש מודעה אחת בלבד על נחירות של בן הזוג, וגם היא רפואית. שקט כבר בלילה הראשון. LF8 #4 + #3. משלים את התקן הנחירות (אפסייל: "פתרון לשניכם").</t>
        </is>
      </c>
    </row>
    <row r="14" ht="129.75" customHeight="1" s="46">
      <c r="A14" s="47" t="n"/>
      <c r="B14" s="48" t="inlineStr">
        <is>
          <t>ערכת "שינה שקטה" — טייפ לפה + רצועת סנטר + מרחיבי אף</t>
        </is>
      </c>
      <c r="C14" s="49" t="inlineStr">
        <is>
          <t>https://he.aliexpress.com/w/wholesale-mouth-tape-sleep.html</t>
        </is>
      </c>
      <c r="D14" s="50" t="n">
        <v>55</v>
      </c>
      <c r="E14" s="50" t="n">
        <v>229.9</v>
      </c>
      <c r="F14" s="50">
        <f>E14-D14</f>
        <v/>
      </c>
      <c r="G14" s="51">
        <f>(F14/E14)</f>
        <v/>
      </c>
      <c r="H14" s="52">
        <f>1/G14</f>
        <v/>
      </c>
      <c r="I14" s="51">
        <f>(F14-(0.25*E14))/E14</f>
        <v/>
      </c>
      <c r="J14" s="51">
        <f>(F14-(0.33*E14))/E14</f>
        <v/>
      </c>
      <c r="K14" s="51">
        <f>(F14-(0.4*E14))/E14</f>
        <v/>
      </c>
      <c r="L14" s="50">
        <f>F14-(E14*0.15)</f>
        <v/>
      </c>
      <c r="M14" s="51">
        <f>(L14/E14)</f>
        <v/>
      </c>
      <c r="N14" s="53">
        <f>1/M14</f>
        <v/>
      </c>
      <c r="O14" s="51">
        <f>(L14-(0.25*E14))/E14</f>
        <v/>
      </c>
      <c r="P14" s="51">
        <f>(L14-(0.33*E14))/E14</f>
        <v/>
      </c>
      <c r="Q14" s="51">
        <f>(L14-(0.4*E14))/E14</f>
        <v/>
      </c>
      <c r="R14" s="54" t="inlineStr">
        <is>
          <t>https://myotape.com/</t>
        </is>
      </c>
      <c r="S14" s="54" t="inlineStr">
        <is>
          <t>https://hostagetape.com/</t>
        </is>
      </c>
      <c r="T14" s="55" t="n"/>
      <c r="U14" s="56" t="n">
        <v>13</v>
      </c>
      <c r="V14" s="48" t="inlineStr">
        <is>
          <t>[נחירות] 0 מודעות בישראל על טייפ לפה. תוצאה בלילה הראשון, מתכלה = קנייה חוזרת כל חודש. זוויות: נחירות, פה יבש בבוקר, שינה עמוקה (ביוהאקינג).</t>
        </is>
      </c>
    </row>
    <row r="15" ht="129.75" customHeight="1" s="46">
      <c r="A15" s="47" t="n"/>
      <c r="B15" s="48" t="inlineStr">
        <is>
          <t>בוקסר עם כיס תומך (Pouch) — מארז 5</t>
        </is>
      </c>
      <c r="C15" s="49" t="inlineStr">
        <is>
          <t>https://he.aliexpress.com/w/wholesale-pouch-boxer-briefs-men.html</t>
        </is>
      </c>
      <c r="D15" s="50" t="n">
        <v>95</v>
      </c>
      <c r="E15" s="50" t="n">
        <v>299.9</v>
      </c>
      <c r="F15" s="50">
        <f>E15-D15</f>
        <v/>
      </c>
      <c r="G15" s="51">
        <f>(F15/E15)</f>
        <v/>
      </c>
      <c r="H15" s="52">
        <f>1/G15</f>
        <v/>
      </c>
      <c r="I15" s="51">
        <f>(F15-(0.25*E15))/E15</f>
        <v/>
      </c>
      <c r="J15" s="51">
        <f>(F15-(0.33*E15))/E15</f>
        <v/>
      </c>
      <c r="K15" s="51">
        <f>(F15-(0.4*E15))/E15</f>
        <v/>
      </c>
      <c r="L15" s="50">
        <f>F15-(E15*0.15)</f>
        <v/>
      </c>
      <c r="M15" s="51">
        <f>(L15/E15)</f>
        <v/>
      </c>
      <c r="N15" s="53">
        <f>1/M15</f>
        <v/>
      </c>
      <c r="O15" s="51">
        <f>(L15-(0.25*E15))/E15</f>
        <v/>
      </c>
      <c r="P15" s="51">
        <f>(L15-(0.33*E15))/E15</f>
        <v/>
      </c>
      <c r="Q15" s="51">
        <f>(L15-(0.4*E15))/E15</f>
        <v/>
      </c>
      <c r="R15" s="54" t="inlineStr">
        <is>
          <t>https://www.saxxunderwear.com/</t>
        </is>
      </c>
      <c r="S15" s="54" t="n"/>
      <c r="T15" s="55" t="n"/>
      <c r="U15" s="56" t="n">
        <v>14</v>
      </c>
      <c r="V15" s="48" t="inlineStr">
        <is>
          <t>[דומה לבוקסר במבוק] מנגנון במשפט אחד: הפרדה = בלי הזעה והידבקות. Saxx בנו על זה מותג גדול. יכול להיות מוצר שני או קו פרימיום באותו מותג של הבמבוק.</t>
        </is>
      </c>
    </row>
    <row r="16" ht="129.75" customHeight="1" s="46">
      <c r="A16" s="47" t="n"/>
      <c r="B16" s="48" t="inlineStr">
        <is>
          <t>מכשיר TENS מיני לכאבי מחזור</t>
        </is>
      </c>
      <c r="C16" s="49" t="inlineStr">
        <is>
          <t>https://he.aliexpress.com/w/wholesale-menstrual-tens-device.html</t>
        </is>
      </c>
      <c r="D16" s="50" t="n">
        <v>80</v>
      </c>
      <c r="E16" s="50" t="n">
        <v>279.9</v>
      </c>
      <c r="F16" s="50">
        <f>E16-D16</f>
        <v/>
      </c>
      <c r="G16" s="51">
        <f>(F16/E16)</f>
        <v/>
      </c>
      <c r="H16" s="52">
        <f>1/G16</f>
        <v/>
      </c>
      <c r="I16" s="51">
        <f>(F16-(0.25*E16))/E16</f>
        <v/>
      </c>
      <c r="J16" s="51">
        <f>(F16-(0.33*E16))/E16</f>
        <v/>
      </c>
      <c r="K16" s="51">
        <f>(F16-(0.4*E16))/E16</f>
        <v/>
      </c>
      <c r="L16" s="50">
        <f>F16-(E16*0.15)</f>
        <v/>
      </c>
      <c r="M16" s="51">
        <f>(L16/E16)</f>
        <v/>
      </c>
      <c r="N16" s="53">
        <f>1/M16</f>
        <v/>
      </c>
      <c r="O16" s="51">
        <f>(L16-(0.25*E16))/E16</f>
        <v/>
      </c>
      <c r="P16" s="51">
        <f>(L16-(0.33*E16))/E16</f>
        <v/>
      </c>
      <c r="Q16" s="51">
        <f>(L16-(0.4*E16))/E16</f>
        <v/>
      </c>
      <c r="R16" s="54" t="inlineStr">
        <is>
          <t>https://mylivia.com/</t>
        </is>
      </c>
      <c r="S16" s="54" t="n"/>
      <c r="T16" s="55" t="n"/>
      <c r="U16" s="56" t="n">
        <v>15</v>
      </c>
      <c r="V16" s="48" t="inlineStr">
        <is>
          <t>[דומה למכשיר המחזור] הקלה תוך דקות, דיסקרטי מתחת לבגדים. Livia מוכרים ב-$149. ⚠️ TENS עשוי לדרוש רישום אמ"ר במשרד הבריאות, כדאי לבדוק לפני שמשווקים.</t>
        </is>
      </c>
    </row>
    <row r="17" ht="129.75" customHeight="1" s="46">
      <c r="A17" s="47" t="n"/>
      <c r="B17" s="48" t="inlineStr">
        <is>
          <t>מדבקות סיליקון נגד קמטים (פנים + מחשוף)</t>
        </is>
      </c>
      <c r="C17" s="49" t="inlineStr">
        <is>
          <t>https://he.aliexpress.com/w/wholesale-silicone-wrinkle-patches.html</t>
        </is>
      </c>
      <c r="D17" s="50" t="n">
        <v>45</v>
      </c>
      <c r="E17" s="50" t="n">
        <v>219.9</v>
      </c>
      <c r="F17" s="50">
        <f>E17-D17</f>
        <v/>
      </c>
      <c r="G17" s="51">
        <f>(F17/E17)</f>
        <v/>
      </c>
      <c r="H17" s="52">
        <f>1/G17</f>
        <v/>
      </c>
      <c r="I17" s="51">
        <f>(F17-(0.25*E17))/E17</f>
        <v/>
      </c>
      <c r="J17" s="51">
        <f>(F17-(0.33*E17))/E17</f>
        <v/>
      </c>
      <c r="K17" s="51">
        <f>(F17-(0.4*E17))/E17</f>
        <v/>
      </c>
      <c r="L17" s="50">
        <f>F17-(E17*0.15)</f>
        <v/>
      </c>
      <c r="M17" s="51">
        <f>(L17/E17)</f>
        <v/>
      </c>
      <c r="N17" s="53">
        <f>1/M17</f>
        <v/>
      </c>
      <c r="O17" s="51">
        <f>(L17-(0.25*E17))/E17</f>
        <v/>
      </c>
      <c r="P17" s="51">
        <f>(L17-(0.33*E17))/E17</f>
        <v/>
      </c>
      <c r="Q17" s="51">
        <f>(L17-(0.4*E17))/E17</f>
        <v/>
      </c>
      <c r="R17" s="54" t="inlineStr">
        <is>
          <t>https://siobeauty.com/</t>
        </is>
      </c>
      <c r="S17" s="54" t="inlineStr">
        <is>
          <t>https://frownies.com/</t>
        </is>
      </c>
      <c r="T17" s="55" t="n"/>
      <c r="U17" s="56" t="n">
        <v>16</v>
      </c>
      <c r="V17" s="48" t="inlineStr">
        <is>
          <t>[דומה למדבקות Breeze] שמים בלילה, חלק יותר בבוקר. רב-פעמי ובלי חומרים, לכן סיכון נמוך. נשים 35-60.</t>
        </is>
      </c>
    </row>
    <row r="18" ht="129.75" customHeight="1" s="46">
      <c r="A18" s="47" t="n"/>
      <c r="B18" s="48" t="inlineStr">
        <is>
          <t>גופייה מחטבת לגברים — מארז 3</t>
        </is>
      </c>
      <c r="C18" s="49" t="inlineStr">
        <is>
          <t>https://he.aliexpress.com/w/wholesale-men-compression-shapewear-tank.html</t>
        </is>
      </c>
      <c r="D18" s="50" t="n">
        <v>80</v>
      </c>
      <c r="E18" s="50" t="n">
        <v>299.9</v>
      </c>
      <c r="F18" s="50">
        <f>E18-D18</f>
        <v/>
      </c>
      <c r="G18" s="51">
        <f>(F18/E18)</f>
        <v/>
      </c>
      <c r="H18" s="52">
        <f>1/G18</f>
        <v/>
      </c>
      <c r="I18" s="51">
        <f>(F18-(0.25*E18))/E18</f>
        <v/>
      </c>
      <c r="J18" s="51">
        <f>(F18-(0.33*E18))/E18</f>
        <v/>
      </c>
      <c r="K18" s="51">
        <f>(F18-(0.4*E18))/E18</f>
        <v/>
      </c>
      <c r="L18" s="50">
        <f>F18-(E18*0.15)</f>
        <v/>
      </c>
      <c r="M18" s="51">
        <f>(L18/E18)</f>
        <v/>
      </c>
      <c r="N18" s="53">
        <f>1/M18</f>
        <v/>
      </c>
      <c r="O18" s="51">
        <f>(L18-(0.25*E18))/E18</f>
        <v/>
      </c>
      <c r="P18" s="51">
        <f>(L18-(0.33*E18))/E18</f>
        <v/>
      </c>
      <c r="Q18" s="51">
        <f>(L18-(0.4*E18))/E18</f>
        <v/>
      </c>
      <c r="R18" s="54" t="n"/>
      <c r="S18" s="54" t="n"/>
      <c r="T18" s="55" t="n"/>
      <c r="U18" s="56" t="n">
        <v>17</v>
      </c>
      <c r="V18" s="48" t="inlineStr">
        <is>
          <t>[דומה לאוברול המחטב] אותו ביטחון, לגברים: מראה שטוח בחולצה מיד. גבר 30-55 עם כרס שנמנע מתמונות. מתאים גם כאפסייל לבוקסר.</t>
        </is>
      </c>
    </row>
    <row r="19" ht="129.75" customHeight="1" s="46">
      <c r="A19" s="47" t="n"/>
      <c r="B19" s="48" t="inlineStr">
        <is>
          <t>חולצה מכופתרת גמישה נגד קמטים וזיעה</t>
        </is>
      </c>
      <c r="C19" s="49" t="inlineStr">
        <is>
          <t>https://he.aliexpress.com/w/wholesale-stretch-non-iron-dress-shirt-men.html</t>
        </is>
      </c>
      <c r="D19" s="50" t="n">
        <v>77</v>
      </c>
      <c r="E19" s="50" t="n">
        <v>229.9</v>
      </c>
      <c r="F19" s="50">
        <f>E19-D19</f>
        <v/>
      </c>
      <c r="G19" s="51">
        <f>(F19/E19)</f>
        <v/>
      </c>
      <c r="H19" s="52">
        <f>1/G19</f>
        <v/>
      </c>
      <c r="I19" s="51">
        <f>(F19-(0.25*E19))/E19</f>
        <v/>
      </c>
      <c r="J19" s="51">
        <f>(F19-(0.33*E19))/E19</f>
        <v/>
      </c>
      <c r="K19" s="51">
        <f>(F19-(0.4*E19))/E19</f>
        <v/>
      </c>
      <c r="L19" s="50">
        <f>F19-(E19*0.15)</f>
        <v/>
      </c>
      <c r="M19" s="51">
        <f>(L19/E19)</f>
        <v/>
      </c>
      <c r="N19" s="53">
        <f>1/M19</f>
        <v/>
      </c>
      <c r="O19" s="51">
        <f>(L19-(0.25*E19))/E19</f>
        <v/>
      </c>
      <c r="P19" s="51">
        <f>(L19-(0.33*E19))/E19</f>
        <v/>
      </c>
      <c r="Q19" s="51">
        <f>(L19-(0.4*E19))/E19</f>
        <v/>
      </c>
      <c r="R19" s="54" t="n"/>
      <c r="S19" s="54" t="n"/>
      <c r="T19" s="55" t="n"/>
      <c r="U19" s="56" t="n">
        <v>24</v>
      </c>
      <c r="V19" s="48" t="inlineStr">
        <is>
          <t>[דומה לג'ינס הגמיש] להיראות מסודר לעבודה ולאירועים, להרגיש כמו בטי-שירט. ⚠️ מידות.</t>
        </is>
      </c>
    </row>
    <row r="20" ht="129.75" customHeight="1" s="46">
      <c r="A20" s="47" t="n"/>
      <c r="B20" s="48" t="inlineStr">
        <is>
          <t>מגני זיעה לבית השחי — 60 זוגות</t>
        </is>
      </c>
      <c r="C20" s="49" t="inlineStr">
        <is>
          <t>https://he.aliexpress.com/w/wholesale-underarm-sweat-pads.html</t>
        </is>
      </c>
      <c r="D20" s="50" t="n">
        <v>35</v>
      </c>
      <c r="E20" s="50" t="n">
        <v>189.9</v>
      </c>
      <c r="F20" s="50">
        <f>E20-D20</f>
        <v/>
      </c>
      <c r="G20" s="51">
        <f>(F20/E20)</f>
        <v/>
      </c>
      <c r="H20" s="52">
        <f>1/G20</f>
        <v/>
      </c>
      <c r="I20" s="51">
        <f>(F20-(0.25*E20))/E20</f>
        <v/>
      </c>
      <c r="J20" s="51">
        <f>(F20-(0.33*E20))/E20</f>
        <v/>
      </c>
      <c r="K20" s="51">
        <f>(F20-(0.4*E20))/E20</f>
        <v/>
      </c>
      <c r="L20" s="50">
        <f>F20-(E20*0.15)</f>
        <v/>
      </c>
      <c r="M20" s="51">
        <f>(L20/E20)</f>
        <v/>
      </c>
      <c r="N20" s="53">
        <f>1/M20</f>
        <v/>
      </c>
      <c r="O20" s="51">
        <f>(L20-(0.25*E20))/E20</f>
        <v/>
      </c>
      <c r="P20" s="51">
        <f>(L20-(0.33*E20))/E20</f>
        <v/>
      </c>
      <c r="Q20" s="51">
        <f>(L20-(0.4*E20))/E20</f>
        <v/>
      </c>
      <c r="R20" s="54" t="inlineStr">
        <is>
          <t>https://thompsontee.com/</t>
        </is>
      </c>
      <c r="S20" s="54" t="n"/>
      <c r="T20" s="55" t="n"/>
      <c r="U20" s="56" t="n">
        <v>20</v>
      </c>
      <c r="V20" s="48" t="inlineStr">
        <is>
          <t>[דומה לג'ל הזיעה, בלי סיכון לעור] בלי כתמי זיעה על הבגדים. מתכלה = מנוי חודשי.</t>
        </is>
      </c>
    </row>
    <row r="21" ht="129.75" customHeight="1" s="46">
      <c r="A21" s="47" t="n"/>
      <c r="B21" s="48" t="inlineStr">
        <is>
          <t>מגן לילה לחריקת שיניים (2 + קופסה)</t>
        </is>
      </c>
      <c r="C21" s="49" t="inlineStr">
        <is>
          <t>https://he.aliexpress.com/w/wholesale-night-guard-teeth-grinding.html</t>
        </is>
      </c>
      <c r="D21" s="50" t="n">
        <v>35</v>
      </c>
      <c r="E21" s="50" t="n">
        <v>189.9</v>
      </c>
      <c r="F21" s="50">
        <f>E21-D21</f>
        <v/>
      </c>
      <c r="G21" s="51">
        <f>(F21/E21)</f>
        <v/>
      </c>
      <c r="H21" s="52">
        <f>1/G21</f>
        <v/>
      </c>
      <c r="I21" s="51">
        <f>(F21-(0.25*E21))/E21</f>
        <v/>
      </c>
      <c r="J21" s="51">
        <f>(F21-(0.33*E21))/E21</f>
        <v/>
      </c>
      <c r="K21" s="51">
        <f>(F21-(0.4*E21))/E21</f>
        <v/>
      </c>
      <c r="L21" s="50">
        <f>F21-(E21*0.15)</f>
        <v/>
      </c>
      <c r="M21" s="51">
        <f>(L21/E21)</f>
        <v/>
      </c>
      <c r="N21" s="53">
        <f>1/M21</f>
        <v/>
      </c>
      <c r="O21" s="51">
        <f>(L21-(0.25*E21))/E21</f>
        <v/>
      </c>
      <c r="P21" s="51">
        <f>(L21-(0.33*E21))/E21</f>
        <v/>
      </c>
      <c r="Q21" s="51">
        <f>(L21-(0.4*E21))/E21</f>
        <v/>
      </c>
      <c r="R21" s="54" t="n"/>
      <c r="S21" s="54" t="n"/>
      <c r="T21" s="55" t="n"/>
      <c r="U21" s="56" t="n">
        <v>18</v>
      </c>
      <c r="V21" s="48" t="inlineStr">
        <is>
          <t>[שינה] לקום בלי כאבי לסת ולהגן על השיניים. בספריית המודעות הישראלית יש 64 מודעות, כולן של מרפאות. רופא שיניים גובה ~1,500 ₪, אז עוגן המחיר גבוה ואין כמעט מוכרים אונליין.</t>
        </is>
      </c>
    </row>
    <row r="22" ht="129.75" customHeight="1" s="46">
      <c r="A22" s="47" t="n"/>
      <c r="B22" s="48" t="inlineStr">
        <is>
          <t>מסכת שינה 3D + אטמי אוזניים מסיליקון</t>
        </is>
      </c>
      <c r="C22" s="49" t="inlineStr">
        <is>
          <t>https://he.aliexpress.com/w/wholesale-3d-sleep-mask.html</t>
        </is>
      </c>
      <c r="D22" s="50" t="n">
        <v>50</v>
      </c>
      <c r="E22" s="50" t="n">
        <v>219.9</v>
      </c>
      <c r="F22" s="50">
        <f>E22-D22</f>
        <v/>
      </c>
      <c r="G22" s="51">
        <f>(F22/E22)</f>
        <v/>
      </c>
      <c r="H22" s="52">
        <f>1/G22</f>
        <v/>
      </c>
      <c r="I22" s="51">
        <f>(F22-(0.25*E22))/E22</f>
        <v/>
      </c>
      <c r="J22" s="51">
        <f>(F22-(0.33*E22))/E22</f>
        <v/>
      </c>
      <c r="K22" s="51">
        <f>(F22-(0.4*E22))/E22</f>
        <v/>
      </c>
      <c r="L22" s="50">
        <f>F22-(E22*0.15)</f>
        <v/>
      </c>
      <c r="M22" s="51">
        <f>(L22/E22)</f>
        <v/>
      </c>
      <c r="N22" s="53">
        <f>1/M22</f>
        <v/>
      </c>
      <c r="O22" s="51">
        <f>(L22-(0.25*E22))/E22</f>
        <v/>
      </c>
      <c r="P22" s="51">
        <f>(L22-(0.33*E22))/E22</f>
        <v/>
      </c>
      <c r="Q22" s="51">
        <f>(L22-(0.4*E22))/E22</f>
        <v/>
      </c>
      <c r="R22" s="54" t="inlineStr">
        <is>
          <t>https://mantasleep.com/</t>
        </is>
      </c>
      <c r="S22" s="54" t="n"/>
      <c r="T22" s="55" t="n"/>
      <c r="U22" s="56" t="n">
        <v>25</v>
      </c>
      <c r="V22" s="48" t="inlineStr">
        <is>
          <t>[שינה] חושך מלא בלי לחץ על העיניים. עובדי משמרות, הורים, טיסות.</t>
        </is>
      </c>
    </row>
    <row r="23" ht="129.75" customHeight="1" s="46">
      <c r="A23" s="47" t="n"/>
      <c r="B23" s="48" t="inlineStr">
        <is>
          <t>ציפית מקררת — זוג</t>
        </is>
      </c>
      <c r="C23" s="49" t="inlineStr">
        <is>
          <t>https://he.aliexpress.com/w/wholesale-cooling-pillowcase.html</t>
        </is>
      </c>
      <c r="D23" s="50" t="n">
        <v>70</v>
      </c>
      <c r="E23" s="50" t="n">
        <v>249.9</v>
      </c>
      <c r="F23" s="50">
        <f>E23-D23</f>
        <v/>
      </c>
      <c r="G23" s="51">
        <f>(F23/E23)</f>
        <v/>
      </c>
      <c r="H23" s="52">
        <f>1/G23</f>
        <v/>
      </c>
      <c r="I23" s="51">
        <f>(F23-(0.25*E23))/E23</f>
        <v/>
      </c>
      <c r="J23" s="51">
        <f>(F23-(0.33*E23))/E23</f>
        <v/>
      </c>
      <c r="K23" s="51">
        <f>(F23-(0.4*E23))/E23</f>
        <v/>
      </c>
      <c r="L23" s="50">
        <f>F23-(E23*0.15)</f>
        <v/>
      </c>
      <c r="M23" s="51">
        <f>(L23/E23)</f>
        <v/>
      </c>
      <c r="N23" s="53">
        <f>1/M23</f>
        <v/>
      </c>
      <c r="O23" s="51">
        <f>(L23-(0.25*E23))/E23</f>
        <v/>
      </c>
      <c r="P23" s="51">
        <f>(L23-(0.33*E23))/E23</f>
        <v/>
      </c>
      <c r="Q23" s="51">
        <f>(L23-(0.4*E23))/E23</f>
        <v/>
      </c>
      <c r="R23" s="54" t="n"/>
      <c r="S23" s="54" t="n"/>
      <c r="T23" s="55" t="n"/>
      <c r="U23" s="56" t="n">
        <v>26</v>
      </c>
      <c r="V23" s="48" t="inlineStr">
        <is>
          <t>[שינה] קרה למגע מיד, מתאים לקיץ הישראלי ולגלי חום (מנופאוזה).</t>
        </is>
      </c>
    </row>
    <row r="24" ht="129.75" customHeight="1" s="46">
      <c r="A24" s="47" t="n"/>
      <c r="B24" s="48" t="inlineStr">
        <is>
          <t>סט סדיני במבוק מקררים</t>
        </is>
      </c>
      <c r="C24" s="49" t="inlineStr">
        <is>
          <t>https://he.aliexpress.com/w/wholesale-bamboo-cooling-sheets.html</t>
        </is>
      </c>
      <c r="D24" s="50" t="n">
        <v>150</v>
      </c>
      <c r="E24" s="50" t="n">
        <v>449.9</v>
      </c>
      <c r="F24" s="50">
        <f>E24-D24</f>
        <v/>
      </c>
      <c r="G24" s="51">
        <f>(F24/E24)</f>
        <v/>
      </c>
      <c r="H24" s="52">
        <f>1/G24</f>
        <v/>
      </c>
      <c r="I24" s="51">
        <f>(F24-(0.25*E24))/E24</f>
        <v/>
      </c>
      <c r="J24" s="51">
        <f>(F24-(0.33*E24))/E24</f>
        <v/>
      </c>
      <c r="K24" s="51">
        <f>(F24-(0.4*E24))/E24</f>
        <v/>
      </c>
      <c r="L24" s="50">
        <f>F24-(E24*0.15)</f>
        <v/>
      </c>
      <c r="M24" s="51">
        <f>(L24/E24)</f>
        <v/>
      </c>
      <c r="N24" s="53">
        <f>1/M24</f>
        <v/>
      </c>
      <c r="O24" s="51">
        <f>(L24-(0.25*E24))/E24</f>
        <v/>
      </c>
      <c r="P24" s="51">
        <f>(L24-(0.33*E24))/E24</f>
        <v/>
      </c>
      <c r="Q24" s="51">
        <f>(L24-(0.4*E24))/E24</f>
        <v/>
      </c>
      <c r="R24" s="54" t="inlineStr">
        <is>
          <t>https://cozyearth.com/</t>
        </is>
      </c>
      <c r="S24" s="54" t="n"/>
      <c r="T24" s="55" t="n"/>
      <c r="U24" s="56" t="n">
        <v>34</v>
      </c>
      <c r="V24" s="48" t="inlineStr">
        <is>
          <t>[שינה + נוחות] הזעות לילה ומנופאוזה. ⚠️ המחיר מעל תקרת 399 ₪, מוצר כבד ומידות מיטה.</t>
        </is>
      </c>
    </row>
    <row r="25" ht="129.75" customHeight="1" s="46">
      <c r="A25" s="47" t="n"/>
      <c r="B25" s="48" t="inlineStr">
        <is>
          <t>שעון מעורר זריחה</t>
        </is>
      </c>
      <c r="C25" s="49" t="inlineStr">
        <is>
          <t>https://he.aliexpress.com/w/wholesale-sunrise-alarm-clock.html</t>
        </is>
      </c>
      <c r="D25" s="50" t="n">
        <v>90</v>
      </c>
      <c r="E25" s="50" t="n">
        <v>279.9</v>
      </c>
      <c r="F25" s="50">
        <f>E25-D25</f>
        <v/>
      </c>
      <c r="G25" s="51">
        <f>(F25/E25)</f>
        <v/>
      </c>
      <c r="H25" s="52">
        <f>1/G25</f>
        <v/>
      </c>
      <c r="I25" s="51">
        <f>(F25-(0.25*E25))/E25</f>
        <v/>
      </c>
      <c r="J25" s="51">
        <f>(F25-(0.33*E25))/E25</f>
        <v/>
      </c>
      <c r="K25" s="51">
        <f>(F25-(0.4*E25))/E25</f>
        <v/>
      </c>
      <c r="L25" s="50">
        <f>F25-(E25*0.15)</f>
        <v/>
      </c>
      <c r="M25" s="51">
        <f>(L25/E25)</f>
        <v/>
      </c>
      <c r="N25" s="53">
        <f>1/M25</f>
        <v/>
      </c>
      <c r="O25" s="51">
        <f>(L25-(0.25*E25))/E25</f>
        <v/>
      </c>
      <c r="P25" s="51">
        <f>(L25-(0.33*E25))/E25</f>
        <v/>
      </c>
      <c r="Q25" s="51">
        <f>(L25-(0.4*E25))/E25</f>
        <v/>
      </c>
      <c r="R25" s="54" t="inlineStr">
        <is>
          <t>https://www.hatch.co/</t>
        </is>
      </c>
      <c r="S25" s="54" t="n"/>
      <c r="T25" s="55" t="n"/>
      <c r="U25" s="56" t="n">
        <v>30</v>
      </c>
      <c r="V25" s="48" t="inlineStr">
        <is>
          <t>[שינה] להתעורר עם אור במקום צלצול. מתנה טובה.</t>
        </is>
      </c>
    </row>
    <row r="26" ht="129.75" customHeight="1" s="46">
      <c r="A26" s="47" t="n"/>
      <c r="B26" s="48" t="inlineStr">
        <is>
          <t>תחתונים סמלס ללא קווים — מארז 7</t>
        </is>
      </c>
      <c r="C26" s="49" t="inlineStr">
        <is>
          <t>https://he.aliexpress.com/w/wholesale-seamless-panties-women.html</t>
        </is>
      </c>
      <c r="D26" s="50" t="n">
        <v>60</v>
      </c>
      <c r="E26" s="50" t="n">
        <v>229.9</v>
      </c>
      <c r="F26" s="50">
        <f>E26-D26</f>
        <v/>
      </c>
      <c r="G26" s="51">
        <f>(F26/E26)</f>
        <v/>
      </c>
      <c r="H26" s="52">
        <f>1/G26</f>
        <v/>
      </c>
      <c r="I26" s="51">
        <f>(F26-(0.25*E26))/E26</f>
        <v/>
      </c>
      <c r="J26" s="51">
        <f>(F26-(0.33*E26))/E26</f>
        <v/>
      </c>
      <c r="K26" s="51">
        <f>(F26-(0.4*E26))/E26</f>
        <v/>
      </c>
      <c r="L26" s="50">
        <f>F26-(E26*0.15)</f>
        <v/>
      </c>
      <c r="M26" s="51">
        <f>(L26/E26)</f>
        <v/>
      </c>
      <c r="N26" s="53">
        <f>1/M26</f>
        <v/>
      </c>
      <c r="O26" s="51">
        <f>(L26-(0.25*E26))/E26</f>
        <v/>
      </c>
      <c r="P26" s="51">
        <f>(L26-(0.33*E26))/E26</f>
        <v/>
      </c>
      <c r="Q26" s="51">
        <f>(L26-(0.4*E26))/E26</f>
        <v/>
      </c>
      <c r="R26" s="54" t="inlineStr">
        <is>
          <t>https://skims.com/</t>
        </is>
      </c>
      <c r="S26" s="54" t="n"/>
      <c r="T26" s="55" t="n"/>
      <c r="U26" s="56" t="n">
        <v>19</v>
      </c>
      <c r="V26" s="48" t="inlineStr">
        <is>
          <t>[נוחות + נראות] בלתי נראים מתחת לבגדים צמודים. אותו מודל AOV כמו הבמבוק: 7 = שבוע.</t>
        </is>
      </c>
    </row>
    <row r="27" ht="129.75" customHeight="1" s="46">
      <c r="A27" s="47" t="n"/>
      <c r="B27" s="48" t="inlineStr">
        <is>
          <t>כפכפי "ענן" — 2 זוגות</t>
        </is>
      </c>
      <c r="C27" s="49" t="inlineStr">
        <is>
          <t>https://he.aliexpress.com/w/wholesale-cloud-slides.html</t>
        </is>
      </c>
      <c r="D27" s="50" t="n">
        <v>80</v>
      </c>
      <c r="E27" s="50" t="n">
        <v>249.9</v>
      </c>
      <c r="F27" s="50">
        <f>E27-D27</f>
        <v/>
      </c>
      <c r="G27" s="51">
        <f>(F27/E27)</f>
        <v/>
      </c>
      <c r="H27" s="52">
        <f>1/G27</f>
        <v/>
      </c>
      <c r="I27" s="51">
        <f>(F27-(0.25*E27))/E27</f>
        <v/>
      </c>
      <c r="J27" s="51">
        <f>(F27-(0.33*E27))/E27</f>
        <v/>
      </c>
      <c r="K27" s="51">
        <f>(F27-(0.4*E27))/E27</f>
        <v/>
      </c>
      <c r="L27" s="50">
        <f>F27-(E27*0.15)</f>
        <v/>
      </c>
      <c r="M27" s="51">
        <f>(L27/E27)</f>
        <v/>
      </c>
      <c r="N27" s="53">
        <f>1/M27</f>
        <v/>
      </c>
      <c r="O27" s="51">
        <f>(L27-(0.25*E27))/E27</f>
        <v/>
      </c>
      <c r="P27" s="51">
        <f>(L27-(0.33*E27))/E27</f>
        <v/>
      </c>
      <c r="Q27" s="51">
        <f>(L27-(0.4*E27))/E27</f>
        <v/>
      </c>
      <c r="R27" s="54" t="n"/>
      <c r="S27" s="54" t="n"/>
      <c r="T27" s="55" t="n"/>
      <c r="U27" s="56" t="n">
        <v>31</v>
      </c>
      <c r="V27" s="48" t="inlineStr">
        <is>
          <t>[נוחות] "הליכה על ענן" מהצעד הראשון. ⚠️ הנעלה ומידות.</t>
        </is>
      </c>
    </row>
    <row r="28" ht="129.75" customHeight="1" s="46">
      <c r="A28" s="47" t="n"/>
      <c r="B28" s="48" t="inlineStr">
        <is>
          <t>כרית צוואר עוטפת לטיסות</t>
        </is>
      </c>
      <c r="C28" s="49" t="inlineStr">
        <is>
          <t>https://he.aliexpress.com/w/wholesale-travel-neck-pillow-wrap.html</t>
        </is>
      </c>
      <c r="D28" s="50" t="n">
        <v>60</v>
      </c>
      <c r="E28" s="50" t="n">
        <v>219.9</v>
      </c>
      <c r="F28" s="50">
        <f>E28-D28</f>
        <v/>
      </c>
      <c r="G28" s="51">
        <f>(F28/E28)</f>
        <v/>
      </c>
      <c r="H28" s="52">
        <f>1/G28</f>
        <v/>
      </c>
      <c r="I28" s="51">
        <f>(F28-(0.25*E28))/E28</f>
        <v/>
      </c>
      <c r="J28" s="51">
        <f>(F28-(0.33*E28))/E28</f>
        <v/>
      </c>
      <c r="K28" s="51">
        <f>(F28-(0.4*E28))/E28</f>
        <v/>
      </c>
      <c r="L28" s="50">
        <f>F28-(E28*0.15)</f>
        <v/>
      </c>
      <c r="M28" s="51">
        <f>(L28/E28)</f>
        <v/>
      </c>
      <c r="N28" s="53">
        <f>1/M28</f>
        <v/>
      </c>
      <c r="O28" s="51">
        <f>(L28-(0.25*E28))/E28</f>
        <v/>
      </c>
      <c r="P28" s="51">
        <f>(L28-(0.33*E28))/E28</f>
        <v/>
      </c>
      <c r="Q28" s="51">
        <f>(L28-(0.4*E28))/E28</f>
        <v/>
      </c>
      <c r="R28" s="54" t="inlineStr">
        <is>
          <t>https://trtltravel.com/</t>
        </is>
      </c>
      <c r="S28" s="54" t="n"/>
      <c r="T28" s="55" t="n"/>
      <c r="U28" s="56" t="n">
        <v>32</v>
      </c>
      <c r="V28" s="48" t="inlineStr">
        <is>
          <t>[נוחות] לישון בטיסה בלי שהראש נופל. ישראלים טסים הרבה.</t>
        </is>
      </c>
    </row>
    <row r="29" ht="129.75" customHeight="1" s="46">
      <c r="A29" s="47" t="n"/>
      <c r="B29" s="48" t="inlineStr">
        <is>
          <t>טייץ מרים ישבן (Scrunch) — זוג</t>
        </is>
      </c>
      <c r="C29" s="49" t="inlineStr">
        <is>
          <t>https://he.aliexpress.com/w/wholesale-scrunch-butt-leggings.html</t>
        </is>
      </c>
      <c r="D29" s="50" t="n">
        <v>75</v>
      </c>
      <c r="E29" s="50" t="n">
        <v>249.9</v>
      </c>
      <c r="F29" s="50">
        <f>E29-D29</f>
        <v/>
      </c>
      <c r="G29" s="51">
        <f>(F29/E29)</f>
        <v/>
      </c>
      <c r="H29" s="52">
        <f>1/G29</f>
        <v/>
      </c>
      <c r="I29" s="51">
        <f>(F29-(0.25*E29))/E29</f>
        <v/>
      </c>
      <c r="J29" s="51">
        <f>(F29-(0.33*E29))/E29</f>
        <v/>
      </c>
      <c r="K29" s="51">
        <f>(F29-(0.4*E29))/E29</f>
        <v/>
      </c>
      <c r="L29" s="50">
        <f>F29-(E29*0.15)</f>
        <v/>
      </c>
      <c r="M29" s="51">
        <f>(L29/E29)</f>
        <v/>
      </c>
      <c r="N29" s="53">
        <f>1/M29</f>
        <v/>
      </c>
      <c r="O29" s="51">
        <f>(L29-(0.25*E29))/E29</f>
        <v/>
      </c>
      <c r="P29" s="51">
        <f>(L29-(0.33*E29))/E29</f>
        <v/>
      </c>
      <c r="Q29" s="51">
        <f>(L29-(0.4*E29))/E29</f>
        <v/>
      </c>
      <c r="R29" s="54" t="n"/>
      <c r="S29" s="54" t="n"/>
      <c r="T29" s="55" t="n"/>
      <c r="U29" s="56" t="n">
        <v>21</v>
      </c>
      <c r="V29" s="48" t="inlineStr">
        <is>
          <t>[נראות] לפני/אחרי ויזואלי מיידי. נשים 20-45.</t>
        </is>
      </c>
    </row>
    <row r="30" ht="129.75" customHeight="1" s="46">
      <c r="A30" s="47" t="n"/>
      <c r="B30" s="48" t="inlineStr">
        <is>
          <t>תוספת שיער (טופר) לנשים עם שיער דליל</t>
        </is>
      </c>
      <c r="C30" s="49" t="inlineStr">
        <is>
          <t>https://he.aliexpress.com/w/wholesale-hair-topper-women.html</t>
        </is>
      </c>
      <c r="D30" s="50" t="n">
        <v>100</v>
      </c>
      <c r="E30" s="50" t="n">
        <v>329.9</v>
      </c>
      <c r="F30" s="50">
        <f>E30-D30</f>
        <v/>
      </c>
      <c r="G30" s="51">
        <f>(F30/E30)</f>
        <v/>
      </c>
      <c r="H30" s="52">
        <f>1/G30</f>
        <v/>
      </c>
      <c r="I30" s="51">
        <f>(F30-(0.25*E30))/E30</f>
        <v/>
      </c>
      <c r="J30" s="51">
        <f>(F30-(0.33*E30))/E30</f>
        <v/>
      </c>
      <c r="K30" s="51">
        <f>(F30-(0.4*E30))/E30</f>
        <v/>
      </c>
      <c r="L30" s="50">
        <f>F30-(E30*0.15)</f>
        <v/>
      </c>
      <c r="M30" s="51">
        <f>(L30/E30)</f>
        <v/>
      </c>
      <c r="N30" s="53">
        <f>1/M30</f>
        <v/>
      </c>
      <c r="O30" s="51">
        <f>(L30-(0.25*E30))/E30</f>
        <v/>
      </c>
      <c r="P30" s="51">
        <f>(L30-(0.33*E30))/E30</f>
        <v/>
      </c>
      <c r="Q30" s="51">
        <f>(L30-(0.4*E30))/E30</f>
        <v/>
      </c>
      <c r="R30" s="54" t="n"/>
      <c r="S30" s="54" t="n"/>
      <c r="T30" s="55" t="n"/>
      <c r="U30" s="56" t="n">
        <v>22</v>
      </c>
      <c r="V30" s="48" t="inlineStr">
        <is>
          <t>[נראות] שיער מלא ב-60 שניות, תוצאה מיידית במקום טיפול של חודשים. ⚠️ צריך התאמת צבע.</t>
        </is>
      </c>
    </row>
    <row r="31" ht="129.75" customHeight="1" s="46">
      <c r="A31" s="47" t="n"/>
      <c r="B31" s="48" t="inlineStr">
        <is>
          <t>טייפ מתיחת פנים מיידי</t>
        </is>
      </c>
      <c r="C31" s="49" t="inlineStr">
        <is>
          <t>https://he.aliexpress.com/w/wholesale-face-lift-tape.html</t>
        </is>
      </c>
      <c r="D31" s="50" t="n">
        <v>30</v>
      </c>
      <c r="E31" s="50" t="n">
        <v>189.9</v>
      </c>
      <c r="F31" s="50">
        <f>E31-D31</f>
        <v/>
      </c>
      <c r="G31" s="51">
        <f>(F31/E31)</f>
        <v/>
      </c>
      <c r="H31" s="52">
        <f>1/G31</f>
        <v/>
      </c>
      <c r="I31" s="51">
        <f>(F31-(0.25*E31))/E31</f>
        <v/>
      </c>
      <c r="J31" s="51">
        <f>(F31-(0.33*E31))/E31</f>
        <v/>
      </c>
      <c r="K31" s="51">
        <f>(F31-(0.4*E31))/E31</f>
        <v/>
      </c>
      <c r="L31" s="50">
        <f>F31-(E31*0.15)</f>
        <v/>
      </c>
      <c r="M31" s="51">
        <f>(L31/E31)</f>
        <v/>
      </c>
      <c r="N31" s="53">
        <f>1/M31</f>
        <v/>
      </c>
      <c r="O31" s="51">
        <f>(L31-(0.25*E31))/E31</f>
        <v/>
      </c>
      <c r="P31" s="51">
        <f>(L31-(0.33*E31))/E31</f>
        <v/>
      </c>
      <c r="Q31" s="51">
        <f>(L31-(0.4*E31))/E31</f>
        <v/>
      </c>
      <c r="R31" s="54" t="n"/>
      <c r="S31" s="54" t="n"/>
      <c r="T31" s="55" t="n"/>
      <c r="U31" s="56" t="n">
        <v>27</v>
      </c>
      <c r="V31" s="48" t="inlineStr">
        <is>
          <t>[נראות] הרמה שמוסתרת מתחת לשיער, לאירועים. מתכלה = קנייה חוזרת.</t>
        </is>
      </c>
    </row>
    <row r="32" ht="129.75" customHeight="1" s="46">
      <c r="A32" s="47" t="n"/>
      <c r="B32" s="48" t="inlineStr">
        <is>
          <t>חותמת גבות (ערכה)</t>
        </is>
      </c>
      <c r="C32" s="49" t="inlineStr">
        <is>
          <t>https://he.aliexpress.com/w/wholesale-eyebrow-stamp-kit.html</t>
        </is>
      </c>
      <c r="D32" s="50" t="n">
        <v>35</v>
      </c>
      <c r="E32" s="50" t="n">
        <v>189.9</v>
      </c>
      <c r="F32" s="50">
        <f>E32-D32</f>
        <v/>
      </c>
      <c r="G32" s="51">
        <f>(F32/E32)</f>
        <v/>
      </c>
      <c r="H32" s="52">
        <f>1/G32</f>
        <v/>
      </c>
      <c r="I32" s="51">
        <f>(F32-(0.25*E32))/E32</f>
        <v/>
      </c>
      <c r="J32" s="51">
        <f>(F32-(0.33*E32))/E32</f>
        <v/>
      </c>
      <c r="K32" s="51">
        <f>(F32-(0.4*E32))/E32</f>
        <v/>
      </c>
      <c r="L32" s="50">
        <f>F32-(E32*0.15)</f>
        <v/>
      </c>
      <c r="M32" s="51">
        <f>(L32/E32)</f>
        <v/>
      </c>
      <c r="N32" s="53">
        <f>1/M32</f>
        <v/>
      </c>
      <c r="O32" s="51">
        <f>(L32-(0.25*E32))/E32</f>
        <v/>
      </c>
      <c r="P32" s="51">
        <f>(L32-(0.33*E32))/E32</f>
        <v/>
      </c>
      <c r="Q32" s="51">
        <f>(L32-(0.4*E32))/E32</f>
        <v/>
      </c>
      <c r="R32" s="54" t="n"/>
      <c r="S32" s="54" t="n"/>
      <c r="T32" s="55" t="n"/>
      <c r="U32" s="56" t="n">
        <v>28</v>
      </c>
      <c r="V32" s="48" t="inlineStr">
        <is>
          <t>[נראות] גבות מושלמות ב-10 שניות.</t>
        </is>
      </c>
    </row>
    <row r="33" ht="129.75" customHeight="1" s="46">
      <c r="A33" s="47" t="n"/>
      <c r="B33" s="48" t="inlineStr">
        <is>
          <t>ריסים מגנטיים (5 זוגות + אייליינר מגנטי)</t>
        </is>
      </c>
      <c r="C33" s="49" t="inlineStr">
        <is>
          <t>https://he.aliexpress.com/w/wholesale-magnetic-eyelashes-kit.html</t>
        </is>
      </c>
      <c r="D33" s="50" t="n">
        <v>45</v>
      </c>
      <c r="E33" s="50" t="n">
        <v>199.9</v>
      </c>
      <c r="F33" s="50">
        <f>E33-D33</f>
        <v/>
      </c>
      <c r="G33" s="51">
        <f>(F33/E33)</f>
        <v/>
      </c>
      <c r="H33" s="52">
        <f>1/G33</f>
        <v/>
      </c>
      <c r="I33" s="51">
        <f>(F33-(0.25*E33))/E33</f>
        <v/>
      </c>
      <c r="J33" s="51">
        <f>(F33-(0.33*E33))/E33</f>
        <v/>
      </c>
      <c r="K33" s="51">
        <f>(F33-(0.4*E33))/E33</f>
        <v/>
      </c>
      <c r="L33" s="50">
        <f>F33-(E33*0.15)</f>
        <v/>
      </c>
      <c r="M33" s="51">
        <f>(L33/E33)</f>
        <v/>
      </c>
      <c r="N33" s="53">
        <f>1/M33</f>
        <v/>
      </c>
      <c r="O33" s="51">
        <f>(L33-(0.25*E33))/E33</f>
        <v/>
      </c>
      <c r="P33" s="51">
        <f>(L33-(0.33*E33))/E33</f>
        <v/>
      </c>
      <c r="Q33" s="51">
        <f>(L33-(0.4*E33))/E33</f>
        <v/>
      </c>
      <c r="R33" s="54" t="n"/>
      <c r="S33" s="54" t="n"/>
      <c r="T33" s="55" t="n"/>
      <c r="U33" s="56" t="n">
        <v>33</v>
      </c>
      <c r="V33" s="48" t="inlineStr">
        <is>
          <t>[נראות] בלי דבק. שוק מוכר יחסית.</t>
        </is>
      </c>
    </row>
    <row r="34" ht="129.75" customHeight="1" s="46">
      <c r="A34" s="47" t="n"/>
      <c r="B34" s="48" t="inlineStr">
        <is>
          <t>אבקה לכיסוי שורשים אפורים — 2 יחידות</t>
        </is>
      </c>
      <c r="C34" s="49" t="inlineStr">
        <is>
          <t>https://he.aliexpress.com/w/wholesale-root-touch-up-powder.html</t>
        </is>
      </c>
      <c r="D34" s="50" t="n">
        <v>40</v>
      </c>
      <c r="E34" s="50" t="n">
        <v>189.9</v>
      </c>
      <c r="F34" s="50">
        <f>E34-D34</f>
        <v/>
      </c>
      <c r="G34" s="51">
        <f>(F34/E34)</f>
        <v/>
      </c>
      <c r="H34" s="52">
        <f>1/G34</f>
        <v/>
      </c>
      <c r="I34" s="51">
        <f>(F34-(0.25*E34))/E34</f>
        <v/>
      </c>
      <c r="J34" s="51">
        <f>(F34-(0.33*E34))/E34</f>
        <v/>
      </c>
      <c r="K34" s="51">
        <f>(F34-(0.4*E34))/E34</f>
        <v/>
      </c>
      <c r="L34" s="50">
        <f>F34-(E34*0.15)</f>
        <v/>
      </c>
      <c r="M34" s="51">
        <f>(L34/E34)</f>
        <v/>
      </c>
      <c r="N34" s="53">
        <f>1/M34</f>
        <v/>
      </c>
      <c r="O34" s="51">
        <f>(L34-(0.25*E34))/E34</f>
        <v/>
      </c>
      <c r="P34" s="51">
        <f>(L34-(0.33*E34))/E34</f>
        <v/>
      </c>
      <c r="Q34" s="51">
        <f>(L34-(0.4*E34))/E34</f>
        <v/>
      </c>
      <c r="R34" s="54" t="n"/>
      <c r="S34" s="54" t="n"/>
      <c r="T34" s="55" t="n"/>
      <c r="U34" s="56" t="n">
        <v>29</v>
      </c>
      <c r="V34" s="48" t="inlineStr">
        <is>
          <t>[נראות] מכסה שורשים בשניות, בין צביעה לצביעה. נשים 35+, קנייה חוזרת.</t>
        </is>
      </c>
    </row>
    <row r="35" ht="129.75" customHeight="1" s="46">
      <c r="A35" s="47" t="n"/>
      <c r="B35" s="48" t="inlineStr">
        <is>
          <t>עט מילוי זקן</t>
        </is>
      </c>
      <c r="C35" s="49" t="inlineStr">
        <is>
          <t>https://he.aliexpress.com/w/wholesale-beard-filling-pen.html</t>
        </is>
      </c>
      <c r="D35" s="50" t="n">
        <v>35</v>
      </c>
      <c r="E35" s="50" t="n">
        <v>189.9</v>
      </c>
      <c r="F35" s="50">
        <f>E35-D35</f>
        <v/>
      </c>
      <c r="G35" s="51">
        <f>(F35/E35)</f>
        <v/>
      </c>
      <c r="H35" s="52">
        <f>1/G35</f>
        <v/>
      </c>
      <c r="I35" s="51">
        <f>(F35-(0.25*E35))/E35</f>
        <v/>
      </c>
      <c r="J35" s="51">
        <f>(F35-(0.33*E35))/E35</f>
        <v/>
      </c>
      <c r="K35" s="51">
        <f>(F35-(0.4*E35))/E35</f>
        <v/>
      </c>
      <c r="L35" s="50">
        <f>F35-(E35*0.15)</f>
        <v/>
      </c>
      <c r="M35" s="51">
        <f>(L35/E35)</f>
        <v/>
      </c>
      <c r="N35" s="53">
        <f>1/M35</f>
        <v/>
      </c>
      <c r="O35" s="51">
        <f>(L35-(0.25*E35))/E35</f>
        <v/>
      </c>
      <c r="P35" s="51">
        <f>(L35-(0.33*E35))/E35</f>
        <v/>
      </c>
      <c r="Q35" s="51">
        <f>(L35-(0.4*E35))/E35</f>
        <v/>
      </c>
      <c r="R35" s="54" t="n"/>
      <c r="S35" s="54" t="n"/>
      <c r="T35" s="55" t="n"/>
      <c r="U35" s="56" t="n">
        <v>35</v>
      </c>
      <c r="V35" s="48" t="inlineStr">
        <is>
          <t>[נראות גברים] ממלא חורים בזקן, זקן מלא מיד.</t>
        </is>
      </c>
    </row>
    <row r="36" ht="129.75" customHeight="1" s="46">
      <c r="A36" s="47" t="n"/>
      <c r="B36" s="48" t="inlineStr">
        <is>
          <t>מכונת גילוח לגב לגברים</t>
        </is>
      </c>
      <c r="C36" s="49" t="inlineStr">
        <is>
          <t>https://he.aliexpress.com/w/wholesale-back-shaver-men.html</t>
        </is>
      </c>
      <c r="D36" s="50" t="n">
        <v>55</v>
      </c>
      <c r="E36" s="50" t="n">
        <v>219.9</v>
      </c>
      <c r="F36" s="50">
        <f>E36-D36</f>
        <v/>
      </c>
      <c r="G36" s="51">
        <f>(F36/E36)</f>
        <v/>
      </c>
      <c r="H36" s="52">
        <f>1/G36</f>
        <v/>
      </c>
      <c r="I36" s="51">
        <f>(F36-(0.25*E36))/E36</f>
        <v/>
      </c>
      <c r="J36" s="51">
        <f>(F36-(0.33*E36))/E36</f>
        <v/>
      </c>
      <c r="K36" s="51">
        <f>(F36-(0.4*E36))/E36</f>
        <v/>
      </c>
      <c r="L36" s="50">
        <f>F36-(E36*0.15)</f>
        <v/>
      </c>
      <c r="M36" s="51">
        <f>(L36/E36)</f>
        <v/>
      </c>
      <c r="N36" s="53">
        <f>1/M36</f>
        <v/>
      </c>
      <c r="O36" s="51">
        <f>(L36-(0.25*E36))/E36</f>
        <v/>
      </c>
      <c r="P36" s="51">
        <f>(L36-(0.33*E36))/E36</f>
        <v/>
      </c>
      <c r="Q36" s="51">
        <f>(L36-(0.4*E36))/E36</f>
        <v/>
      </c>
      <c r="R36" s="54" t="inlineStr">
        <is>
          <t>https://www.bakblade.com/</t>
        </is>
      </c>
      <c r="S36" s="54" t="n"/>
      <c r="T36" s="55" t="n"/>
      <c r="U36" s="56" t="n">
        <v>23</v>
      </c>
      <c r="V36" s="48" t="inlineStr">
        <is>
          <t>[נראות גברים] ביטחון בבריכה ובים. AOV: להבים חלופיים.</t>
        </is>
      </c>
    </row>
    <row r="37" ht="129.75" customHeight="1" s="46">
      <c r="A37" s="47" t="n"/>
      <c r="B37" s="48" t="inlineStr">
        <is>
          <t>ערכת תלתלים ללא חום</t>
        </is>
      </c>
      <c r="C37" s="49" t="inlineStr">
        <is>
          <t>https://he.aliexpress.com/w/wholesale-heatless-curling-rod.html</t>
        </is>
      </c>
      <c r="D37" s="50" t="n">
        <v>40</v>
      </c>
      <c r="E37" s="50" t="n">
        <v>199.9</v>
      </c>
      <c r="F37" s="50">
        <f>E37-D37</f>
        <v/>
      </c>
      <c r="G37" s="51">
        <f>(F37/E37)</f>
        <v/>
      </c>
      <c r="H37" s="52">
        <f>1/G37</f>
        <v/>
      </c>
      <c r="I37" s="51">
        <f>(F37-(0.25*E37))/E37</f>
        <v/>
      </c>
      <c r="J37" s="51">
        <f>(F37-(0.33*E37))/E37</f>
        <v/>
      </c>
      <c r="K37" s="51">
        <f>(F37-(0.4*E37))/E37</f>
        <v/>
      </c>
      <c r="L37" s="50">
        <f>F37-(E37*0.15)</f>
        <v/>
      </c>
      <c r="M37" s="51">
        <f>(L37/E37)</f>
        <v/>
      </c>
      <c r="N37" s="53">
        <f>1/M37</f>
        <v/>
      </c>
      <c r="O37" s="51">
        <f>(L37-(0.25*E37))/E37</f>
        <v/>
      </c>
      <c r="P37" s="51">
        <f>(L37-(0.33*E37))/E37</f>
        <v/>
      </c>
      <c r="Q37" s="51">
        <f>(L37-(0.4*E37))/E37</f>
        <v/>
      </c>
      <c r="R37" s="54" t="inlineStr">
        <is>
          <t>https://mykitsch.com/</t>
        </is>
      </c>
      <c r="S37" s="54" t="n"/>
      <c r="T37" s="55" t="n"/>
      <c r="U37" s="56" t="n">
        <v>36</v>
      </c>
      <c r="V37" s="48" t="inlineStr">
        <is>
          <t>[שינה + נראות] לישון ולקום עם תלתלים, בלי נזק מחום.</t>
        </is>
      </c>
    </row>
    <row r="38" ht="15.75" customHeight="1" s="46"/>
    <row r="39" ht="15.75" customHeight="1" s="46"/>
    <row r="40" ht="15.75" customHeight="1" s="46"/>
    <row r="41" ht="15.75" customHeight="1" s="46"/>
    <row r="42" ht="15.75" customHeight="1" s="46"/>
    <row r="43" ht="15.75" customHeight="1" s="46"/>
    <row r="44" ht="15.75" customHeight="1" s="46"/>
    <row r="45" ht="15.75" customHeight="1" s="46"/>
    <row r="46" ht="15.75" customHeight="1" s="46"/>
    <row r="47" ht="15.75" customHeight="1" s="46"/>
    <row r="48" ht="15.75" customHeight="1" s="46"/>
    <row r="49" ht="15.75" customHeight="1" s="46"/>
    <row r="50" ht="15.75" customHeight="1" s="46"/>
    <row r="51" ht="15.75" customHeight="1" s="46"/>
    <row r="52" ht="15.75" customHeight="1" s="46"/>
    <row r="53" ht="15.75" customHeight="1" s="46"/>
    <row r="54" ht="15.75" customHeight="1" s="46"/>
    <row r="55" ht="15.75" customHeight="1" s="46"/>
    <row r="56" ht="15.75" customHeight="1" s="46"/>
    <row r="57" ht="15.75" customHeight="1" s="46"/>
    <row r="58" ht="15.75" customHeight="1" s="46"/>
    <row r="59" ht="15.75" customHeight="1" s="46"/>
    <row r="60" ht="15.75" customHeight="1" s="46"/>
    <row r="61" ht="15.75" customHeight="1" s="46"/>
    <row r="62" ht="15.75" customHeight="1" s="46"/>
    <row r="63" ht="15.75" customHeight="1" s="46"/>
    <row r="64" ht="15.75" customHeight="1" s="46"/>
    <row r="65" ht="15.75" customHeight="1" s="46"/>
    <row r="66" ht="15.75" customHeight="1" s="46"/>
    <row r="67" ht="15.75" customHeight="1" s="46"/>
    <row r="68" ht="15.75" customHeight="1" s="46"/>
    <row r="69" ht="15.75" customHeight="1" s="46"/>
    <row r="70" ht="15.75" customHeight="1" s="46"/>
    <row r="71" ht="15.75" customHeight="1" s="46"/>
    <row r="72" ht="15.75" customHeight="1" s="46"/>
    <row r="73" ht="15.75" customHeight="1" s="46"/>
    <row r="74" ht="15.75" customHeight="1" s="46"/>
    <row r="75" ht="15.75" customHeight="1" s="46"/>
    <row r="76" ht="15.75" customHeight="1" s="46"/>
    <row r="77" ht="15.75" customHeight="1" s="46"/>
    <row r="78" ht="15.75" customHeight="1" s="46"/>
    <row r="79" ht="15.75" customHeight="1" s="46"/>
    <row r="80" ht="15.75" customHeight="1" s="46"/>
    <row r="81" ht="15.75" customHeight="1" s="46"/>
    <row r="82" ht="15.75" customHeight="1" s="46"/>
    <row r="83" ht="15.75" customHeight="1" s="46"/>
    <row r="84" ht="15.75" customHeight="1" s="46"/>
    <row r="85" ht="15.75" customHeight="1" s="46"/>
    <row r="86" ht="15.75" customHeight="1" s="46"/>
    <row r="87" ht="15.75" customHeight="1" s="46"/>
    <row r="88" ht="15.75" customHeight="1" s="46"/>
    <row r="89" ht="15.75" customHeight="1" s="46"/>
    <row r="90" ht="15.75" customHeight="1" s="46"/>
    <row r="91" ht="15.75" customHeight="1" s="46"/>
    <row r="92" ht="15.75" customHeight="1" s="46"/>
    <row r="93" ht="15.75" customHeight="1" s="46"/>
    <row r="94" ht="15.75" customHeight="1" s="46"/>
    <row r="95" ht="15.75" customHeight="1" s="46"/>
    <row r="96" ht="15.75" customHeight="1" s="46"/>
    <row r="97" ht="15.75" customHeight="1" s="46"/>
    <row r="98" ht="15.75" customHeight="1" s="46"/>
    <row r="99" ht="15.75" customHeight="1" s="46"/>
    <row r="100" ht="15.75" customHeight="1" s="46"/>
    <row r="101" ht="15.75" customHeight="1" s="46"/>
    <row r="102" ht="15.75" customHeight="1" s="46"/>
    <row r="103" ht="15.75" customHeight="1" s="46"/>
    <row r="104" ht="15.75" customHeight="1" s="46"/>
    <row r="105" ht="15.75" customHeight="1" s="46"/>
    <row r="106" ht="15.75" customHeight="1" s="46"/>
    <row r="107" ht="15.75" customHeight="1" s="46"/>
    <row r="108" ht="15.75" customHeight="1" s="46"/>
    <row r="109" ht="15.75" customHeight="1" s="46"/>
    <row r="110" ht="15.75" customHeight="1" s="46"/>
    <row r="111" ht="15.75" customHeight="1" s="46"/>
    <row r="112" ht="15.75" customHeight="1" s="46"/>
    <row r="113" ht="15.75" customHeight="1" s="46"/>
    <row r="114" ht="15.75" customHeight="1" s="46"/>
    <row r="115" ht="15.75" customHeight="1" s="46"/>
    <row r="116" ht="15.75" customHeight="1" s="46"/>
    <row r="117" ht="15.75" customHeight="1" s="46"/>
    <row r="118" ht="15.75" customHeight="1" s="46"/>
    <row r="119" ht="15.75" customHeight="1" s="46"/>
    <row r="120" ht="15.75" customHeight="1" s="46"/>
    <row r="121" ht="15.75" customHeight="1" s="46"/>
    <row r="122" ht="15.75" customHeight="1" s="46"/>
    <row r="123" ht="15.75" customHeight="1" s="46"/>
    <row r="124" ht="15.75" customHeight="1" s="46"/>
    <row r="125" ht="15.75" customHeight="1" s="46"/>
    <row r="126" ht="15.75" customHeight="1" s="46"/>
    <row r="127" ht="15.75" customHeight="1" s="46"/>
    <row r="128" ht="15.75" customHeight="1" s="46"/>
    <row r="129" ht="15.75" customHeight="1" s="46"/>
    <row r="130" ht="15.75" customHeight="1" s="46"/>
    <row r="131" ht="15.75" customHeight="1" s="46"/>
    <row r="132" ht="15.75" customHeight="1" s="46"/>
    <row r="133" ht="15.75" customHeight="1" s="46"/>
    <row r="134" ht="15.75" customHeight="1" s="46"/>
    <row r="135" ht="15.75" customHeight="1" s="46"/>
    <row r="136" ht="15.75" customHeight="1" s="46"/>
    <row r="137" ht="15.75" customHeight="1" s="46"/>
    <row r="138" ht="15.75" customHeight="1" s="46"/>
    <row r="139" ht="15.75" customHeight="1" s="46"/>
    <row r="140" ht="15.75" customHeight="1" s="46"/>
    <row r="141" ht="15.75" customHeight="1" s="46"/>
    <row r="142" ht="15.75" customHeight="1" s="46"/>
    <row r="143" ht="15.75" customHeight="1" s="46"/>
    <row r="144" ht="15.75" customHeight="1" s="46"/>
    <row r="145" ht="15.75" customHeight="1" s="46"/>
    <row r="146" ht="15.75" customHeight="1" s="46"/>
    <row r="147" ht="15.75" customHeight="1" s="46"/>
    <row r="148" ht="15.75" customHeight="1" s="46"/>
    <row r="149" ht="15.75" customHeight="1" s="46"/>
    <row r="150" ht="15.75" customHeight="1" s="46"/>
    <row r="151" ht="15.75" customHeight="1" s="46"/>
    <row r="152" ht="15.75" customHeight="1" s="46"/>
    <row r="153" ht="15.75" customHeight="1" s="46"/>
    <row r="154" ht="15.75" customHeight="1" s="46"/>
    <row r="155" ht="15.75" customHeight="1" s="46"/>
    <row r="156" ht="15.75" customHeight="1" s="46"/>
    <row r="157" ht="15.75" customHeight="1" s="46"/>
    <row r="158" ht="15.75" customHeight="1" s="46"/>
    <row r="159" ht="15.75" customHeight="1" s="46"/>
    <row r="160" ht="15.75" customHeight="1" s="46"/>
    <row r="161" ht="15.75" customHeight="1" s="46"/>
    <row r="162" ht="15.75" customHeight="1" s="46"/>
    <row r="163" ht="15.75" customHeight="1" s="46"/>
    <row r="164" ht="15.75" customHeight="1" s="46"/>
    <row r="165" ht="15.75" customHeight="1" s="46"/>
    <row r="166" ht="15.75" customHeight="1" s="46"/>
    <row r="167" ht="15.75" customHeight="1" s="46"/>
    <row r="168" ht="15.75" customHeight="1" s="46"/>
    <row r="169" ht="15.75" customHeight="1" s="46"/>
    <row r="170" ht="15.75" customHeight="1" s="46"/>
    <row r="171" ht="15.75" customHeight="1" s="46"/>
    <row r="172" ht="15.75" customHeight="1" s="46"/>
    <row r="173" ht="15.75" customHeight="1" s="46"/>
    <row r="174" ht="15.75" customHeight="1" s="46"/>
    <row r="175" ht="15.75" customHeight="1" s="46"/>
    <row r="176" ht="15.75" customHeight="1" s="46"/>
    <row r="177" ht="15.75" customHeight="1" s="46"/>
    <row r="178" ht="15.75" customHeight="1" s="46"/>
    <row r="179" ht="15.75" customHeight="1" s="46"/>
    <row r="180" ht="15.75" customHeight="1" s="46"/>
    <row r="181" ht="15.75" customHeight="1" s="46"/>
    <row r="182" ht="15.75" customHeight="1" s="46"/>
    <row r="183" ht="15.75" customHeight="1" s="46"/>
    <row r="184" ht="15.75" customHeight="1" s="46"/>
    <row r="185" ht="15.75" customHeight="1" s="46"/>
    <row r="186" ht="15.75" customHeight="1" s="46"/>
    <row r="187" ht="15.75" customHeight="1" s="46"/>
    <row r="188" ht="15.75" customHeight="1" s="46"/>
    <row r="189" ht="15.75" customHeight="1" s="46"/>
    <row r="190" ht="15.75" customHeight="1" s="46"/>
    <row r="191" ht="15.75" customHeight="1" s="46"/>
    <row r="192" ht="15.75" customHeight="1" s="46"/>
    <row r="193" ht="15.75" customHeight="1" s="46"/>
    <row r="194" ht="15.75" customHeight="1" s="46"/>
    <row r="195" ht="15.75" customHeight="1" s="46"/>
    <row r="196" ht="15.75" customHeight="1" s="46"/>
    <row r="197" ht="15.75" customHeight="1" s="46"/>
    <row r="198" ht="15.75" customHeight="1" s="46"/>
    <row r="199" ht="15.75" customHeight="1" s="46"/>
    <row r="200" ht="15.75" customHeight="1" s="46"/>
    <row r="201" ht="15.75" customHeight="1" s="46"/>
    <row r="202" ht="15.75" customHeight="1" s="46"/>
    <row r="203" ht="15.75" customHeight="1" s="46"/>
    <row r="204" ht="15.75" customHeight="1" s="46"/>
    <row r="205" ht="15.75" customHeight="1" s="46"/>
    <row r="206" ht="15.75" customHeight="1" s="46"/>
    <row r="207" ht="15.75" customHeight="1" s="46"/>
    <row r="208" ht="15.75" customHeight="1" s="46"/>
    <row r="209" ht="15.75" customHeight="1" s="46"/>
    <row r="210" ht="15.75" customHeight="1" s="46"/>
    <row r="211" ht="15.75" customHeight="1" s="46"/>
    <row r="212" ht="15.75" customHeight="1" s="46"/>
    <row r="213" ht="15.75" customHeight="1" s="46"/>
    <row r="214" ht="15.75" customHeight="1" s="46"/>
    <row r="215" ht="15.75" customHeight="1" s="46"/>
    <row r="216" ht="15.75" customHeight="1" s="46"/>
    <row r="217" ht="15.75" customHeight="1" s="46"/>
    <row r="218" ht="15.75" customHeight="1" s="46"/>
    <row r="219" ht="15.75" customHeight="1" s="46"/>
    <row r="220" ht="15.75" customHeight="1" s="46"/>
    <row r="221" ht="15.75" customHeight="1" s="46"/>
    <row r="222" ht="15.75" customHeight="1" s="46"/>
    <row r="223" ht="15.75" customHeight="1" s="46"/>
    <row r="224" ht="15.75" customHeight="1" s="46"/>
    <row r="225" ht="15.75" customHeight="1" s="46"/>
    <row r="226" ht="15.75" customHeight="1" s="46"/>
    <row r="227" ht="15.75" customHeight="1" s="46"/>
    <row r="228" ht="15.75" customHeight="1" s="46"/>
    <row r="229" ht="15.75" customHeight="1" s="46"/>
    <row r="230" ht="15.75" customHeight="1" s="46"/>
    <row r="231" ht="15.75" customHeight="1" s="46"/>
    <row r="232" ht="15.75" customHeight="1" s="46"/>
    <row r="233" ht="15.75" customHeight="1" s="46"/>
    <row r="234" ht="15.75" customHeight="1" s="46"/>
    <row r="235" ht="15.75" customHeight="1" s="46"/>
    <row r="236" ht="15.75" customHeight="1" s="46"/>
    <row r="237" ht="15.75" customHeight="1" s="46"/>
    <row r="238" ht="15.75" customHeight="1" s="46"/>
    <row r="239" ht="15.75" customHeight="1" s="46"/>
    <row r="240" ht="15.75" customHeight="1" s="46"/>
    <row r="241" ht="15.75" customHeight="1" s="46"/>
    <row r="242" ht="15.75" customHeight="1" s="46"/>
    <row r="243" ht="15.75" customHeight="1" s="46"/>
    <row r="244" ht="15.75" customHeight="1" s="46"/>
    <row r="245" ht="15.75" customHeight="1" s="46"/>
    <row r="246" ht="15.75" customHeight="1" s="46"/>
    <row r="247" ht="15.75" customHeight="1" s="46"/>
    <row r="248" ht="15.75" customHeight="1" s="46"/>
    <row r="249" ht="15.75" customHeight="1" s="46"/>
    <row r="250" ht="15.75" customHeight="1" s="46"/>
    <row r="251" ht="15.75" customHeight="1" s="46"/>
    <row r="252" ht="15.75" customHeight="1" s="46"/>
    <row r="253" ht="15.75" customHeight="1" s="46"/>
    <row r="254" ht="15.75" customHeight="1" s="46"/>
    <row r="255" ht="15.75" customHeight="1" s="46"/>
    <row r="256" ht="15.75" customHeight="1" s="46"/>
    <row r="257" ht="15.75" customHeight="1" s="46"/>
    <row r="258" ht="15.75" customHeight="1" s="46"/>
    <row r="259" ht="15.75" customHeight="1" s="46"/>
    <row r="260" ht="15.75" customHeight="1" s="46"/>
    <row r="261" ht="15.75" customHeight="1" s="46"/>
    <row r="262" ht="15.75" customHeight="1" s="46"/>
    <row r="263" ht="15.75" customHeight="1" s="46"/>
    <row r="264" ht="15.75" customHeight="1" s="46"/>
    <row r="265" ht="15.75" customHeight="1" s="46"/>
    <row r="266" ht="15.75" customHeight="1" s="46"/>
    <row r="267" ht="15.75" customHeight="1" s="46"/>
    <row r="268" ht="15.75" customHeight="1" s="46"/>
    <row r="269" ht="15.75" customHeight="1" s="46"/>
    <row r="270" ht="15.75" customHeight="1" s="46"/>
    <row r="271" ht="15.75" customHeight="1" s="46"/>
    <row r="272" ht="15.75" customHeight="1" s="46"/>
    <row r="273" ht="15.75" customHeight="1" s="46"/>
    <row r="274" ht="15.75" customHeight="1" s="46"/>
    <row r="275" ht="15.75" customHeight="1" s="46"/>
    <row r="276" ht="15.75" customHeight="1" s="46"/>
    <row r="277" ht="15.75" customHeight="1" s="46"/>
    <row r="278" ht="15.75" customHeight="1" s="46"/>
    <row r="279" ht="15.75" customHeight="1" s="46"/>
    <row r="280" ht="15.75" customHeight="1" s="46"/>
    <row r="281" ht="15.75" customHeight="1" s="46"/>
    <row r="282" ht="15.75" customHeight="1" s="46"/>
    <row r="283" ht="15.75" customHeight="1" s="46"/>
    <row r="284" ht="15.75" customHeight="1" s="46"/>
    <row r="285" ht="15.75" customHeight="1" s="46"/>
    <row r="286" ht="15.75" customHeight="1" s="46"/>
    <row r="287" ht="15.75" customHeight="1" s="46"/>
    <row r="288" ht="15.75" customHeight="1" s="46"/>
    <row r="289" ht="15.75" customHeight="1" s="46"/>
    <row r="290" ht="15.75" customHeight="1" s="46"/>
    <row r="291" ht="15.75" customHeight="1" s="46"/>
    <row r="292" ht="15.75" customHeight="1" s="46"/>
    <row r="293" ht="15.75" customHeight="1" s="46"/>
    <row r="294" ht="15.75" customHeight="1" s="46"/>
    <row r="295" ht="15.75" customHeight="1" s="46"/>
    <row r="296" ht="15.75" customHeight="1" s="46"/>
    <row r="297" ht="15.75" customHeight="1" s="46"/>
    <row r="298" ht="15.75" customHeight="1" s="46"/>
    <row r="299" ht="15.75" customHeight="1" s="46"/>
    <row r="300" ht="15.75" customHeight="1" s="46"/>
    <row r="301" ht="15.75" customHeight="1" s="46"/>
    <row r="302" ht="15.75" customHeight="1" s="46"/>
    <row r="303" ht="15.75" customHeight="1" s="46"/>
    <row r="304" ht="15.75" customHeight="1" s="46"/>
    <row r="305" ht="15.75" customHeight="1" s="46"/>
    <row r="306" ht="15.75" customHeight="1" s="46"/>
    <row r="307" ht="15.75" customHeight="1" s="46"/>
    <row r="308" ht="15.75" customHeight="1" s="46"/>
    <row r="309" ht="15.75" customHeight="1" s="46"/>
    <row r="310" ht="15.75" customHeight="1" s="46"/>
    <row r="311" ht="15.75" customHeight="1" s="46"/>
    <row r="312" ht="15.75" customHeight="1" s="46"/>
    <row r="313" ht="15.75" customHeight="1" s="46"/>
    <row r="314" ht="15.75" customHeight="1" s="46"/>
    <row r="315" ht="15.75" customHeight="1" s="46"/>
    <row r="316" ht="15.75" customHeight="1" s="46"/>
    <row r="317" ht="15.75" customHeight="1" s="46"/>
    <row r="318" ht="15.75" customHeight="1" s="46"/>
    <row r="319" ht="15.75" customHeight="1" s="46"/>
    <row r="320" ht="15.75" customHeight="1" s="46"/>
    <row r="321" ht="15.75" customHeight="1" s="46"/>
    <row r="322" ht="15.75" customHeight="1" s="46"/>
    <row r="323" ht="15.75" customHeight="1" s="46"/>
    <row r="324" ht="15.75" customHeight="1" s="46"/>
    <row r="325" ht="15.75" customHeight="1" s="46"/>
    <row r="326" ht="15.75" customHeight="1" s="46"/>
    <row r="327" ht="15.75" customHeight="1" s="46"/>
    <row r="328" ht="15.75" customHeight="1" s="46"/>
    <row r="329" ht="15.75" customHeight="1" s="46"/>
    <row r="330" ht="15.75" customHeight="1" s="46"/>
    <row r="331" ht="15.75" customHeight="1" s="46"/>
    <row r="332" ht="15.75" customHeight="1" s="46"/>
    <row r="333" ht="15.75" customHeight="1" s="46"/>
    <row r="334" ht="15.75" customHeight="1" s="46"/>
    <row r="335" ht="15.75" customHeight="1" s="46"/>
    <row r="336" ht="15.75" customHeight="1" s="46"/>
    <row r="337" ht="15.75" customHeight="1" s="46"/>
    <row r="338" ht="15.75" customHeight="1" s="46"/>
    <row r="339" ht="15.75" customHeight="1" s="46"/>
    <row r="340" ht="15.75" customHeight="1" s="46"/>
    <row r="341" ht="15.75" customHeight="1" s="46"/>
    <row r="342" ht="15.75" customHeight="1" s="46"/>
    <row r="343" ht="15.75" customHeight="1" s="46"/>
    <row r="344" ht="15.75" customHeight="1" s="46"/>
    <row r="345" ht="15.75" customHeight="1" s="46"/>
    <row r="346" ht="15.75" customHeight="1" s="46"/>
    <row r="347" ht="15.75" customHeight="1" s="46"/>
    <row r="348" ht="15.75" customHeight="1" s="46"/>
    <row r="349" ht="15.75" customHeight="1" s="46"/>
    <row r="350" ht="15.75" customHeight="1" s="46"/>
    <row r="351" ht="15.75" customHeight="1" s="46"/>
    <row r="352" ht="15.75" customHeight="1" s="46"/>
    <row r="353" ht="15.75" customHeight="1" s="46"/>
    <row r="354" ht="15.75" customHeight="1" s="46"/>
    <row r="355" ht="15.75" customHeight="1" s="46"/>
    <row r="356" ht="15.75" customHeight="1" s="46"/>
    <row r="357" ht="15.75" customHeight="1" s="46"/>
    <row r="358" ht="15.75" customHeight="1" s="46"/>
    <row r="359" ht="15.75" customHeight="1" s="46"/>
    <row r="360" ht="15.75" customHeight="1" s="46"/>
    <row r="361" ht="15.75" customHeight="1" s="46"/>
    <row r="362" ht="15.75" customHeight="1" s="46"/>
    <row r="363" ht="15.75" customHeight="1" s="46"/>
    <row r="364" ht="15.75" customHeight="1" s="46"/>
    <row r="365" ht="15.75" customHeight="1" s="46"/>
    <row r="366" ht="15.75" customHeight="1" s="46"/>
    <row r="367" ht="15.75" customHeight="1" s="46"/>
    <row r="368" ht="15.75" customHeight="1" s="46"/>
    <row r="369" ht="15.75" customHeight="1" s="46"/>
    <row r="370" ht="15.75" customHeight="1" s="46"/>
    <row r="371" ht="15.75" customHeight="1" s="46"/>
    <row r="372" ht="15.75" customHeight="1" s="46"/>
    <row r="373" ht="15.75" customHeight="1" s="46"/>
    <row r="374" ht="15.75" customHeight="1" s="46"/>
    <row r="375" ht="15.75" customHeight="1" s="46"/>
    <row r="376" ht="15.75" customHeight="1" s="46"/>
    <row r="377" ht="15.75" customHeight="1" s="46"/>
    <row r="378" ht="15.75" customHeight="1" s="46"/>
    <row r="379" ht="15.75" customHeight="1" s="46"/>
    <row r="380" ht="15.75" customHeight="1" s="46"/>
    <row r="381" ht="15.75" customHeight="1" s="46"/>
    <row r="382" ht="15.75" customHeight="1" s="46"/>
    <row r="383" ht="15.75" customHeight="1" s="46"/>
    <row r="384" ht="15.75" customHeight="1" s="46"/>
    <row r="385" ht="15.75" customHeight="1" s="46"/>
    <row r="386" ht="15.75" customHeight="1" s="46"/>
    <row r="387" ht="15.75" customHeight="1" s="46"/>
    <row r="388" ht="15.75" customHeight="1" s="46"/>
    <row r="389" ht="15.75" customHeight="1" s="46"/>
    <row r="390" ht="15.75" customHeight="1" s="46"/>
    <row r="391" ht="15.75" customHeight="1" s="46"/>
    <row r="392" ht="15.75" customHeight="1" s="46"/>
    <row r="393" ht="15.75" customHeight="1" s="46"/>
    <row r="394" ht="15.75" customHeight="1" s="46"/>
    <row r="395" ht="15.75" customHeight="1" s="46"/>
    <row r="396" ht="15.75" customHeight="1" s="46"/>
    <row r="397" ht="15.75" customHeight="1" s="46"/>
    <row r="398" ht="15.75" customHeight="1" s="46"/>
    <row r="399" ht="15.75" customHeight="1" s="46"/>
    <row r="400" ht="15.75" customHeight="1" s="46"/>
    <row r="401" ht="15.75" customHeight="1" s="46"/>
    <row r="402" ht="15.75" customHeight="1" s="46"/>
    <row r="403" ht="15.75" customHeight="1" s="46"/>
    <row r="404" ht="15.75" customHeight="1" s="46"/>
    <row r="405" ht="15.75" customHeight="1" s="46"/>
    <row r="406" ht="15.75" customHeight="1" s="46"/>
    <row r="407" ht="15.75" customHeight="1" s="46"/>
    <row r="408" ht="15.75" customHeight="1" s="46"/>
    <row r="409" ht="15.75" customHeight="1" s="46"/>
    <row r="410" ht="15.75" customHeight="1" s="46"/>
    <row r="411" ht="15.75" customHeight="1" s="46"/>
    <row r="412" ht="15.75" customHeight="1" s="46"/>
    <row r="413" ht="15.75" customHeight="1" s="46"/>
    <row r="414" ht="15.75" customHeight="1" s="46"/>
    <row r="415" ht="15.75" customHeight="1" s="46"/>
    <row r="416" ht="15.75" customHeight="1" s="46"/>
    <row r="417" ht="15.75" customHeight="1" s="46"/>
    <row r="418" ht="15.75" customHeight="1" s="46"/>
    <row r="419" ht="15.75" customHeight="1" s="46"/>
    <row r="420" ht="15.75" customHeight="1" s="46"/>
    <row r="421" ht="15.75" customHeight="1" s="46"/>
    <row r="422" ht="15.75" customHeight="1" s="46"/>
    <row r="423" ht="15.75" customHeight="1" s="46"/>
    <row r="424" ht="15.75" customHeight="1" s="46"/>
    <row r="425" ht="15.75" customHeight="1" s="46"/>
    <row r="426" ht="15.75" customHeight="1" s="46"/>
    <row r="427" ht="15.75" customHeight="1" s="46"/>
    <row r="428" ht="15.75" customHeight="1" s="46"/>
    <row r="429" ht="15.75" customHeight="1" s="46"/>
    <row r="430" ht="15.75" customHeight="1" s="46"/>
    <row r="431" ht="15.75" customHeight="1" s="46"/>
    <row r="432" ht="15.75" customHeight="1" s="46"/>
    <row r="433" ht="15.75" customHeight="1" s="46"/>
    <row r="434" ht="15.75" customHeight="1" s="46"/>
    <row r="435" ht="15.75" customHeight="1" s="46"/>
    <row r="436" ht="15.75" customHeight="1" s="46"/>
    <row r="437" ht="15.75" customHeight="1" s="46"/>
    <row r="438" ht="15.75" customHeight="1" s="46"/>
    <row r="439" ht="15.75" customHeight="1" s="46"/>
    <row r="440" ht="15.75" customHeight="1" s="46"/>
    <row r="441" ht="15.75" customHeight="1" s="46"/>
    <row r="442" ht="15.75" customHeight="1" s="46"/>
    <row r="443" ht="15.75" customHeight="1" s="46"/>
    <row r="444" ht="15.75" customHeight="1" s="46"/>
    <row r="445" ht="15.75" customHeight="1" s="46"/>
    <row r="446" ht="15.75" customHeight="1" s="46"/>
    <row r="447" ht="15.75" customHeight="1" s="46"/>
    <row r="448" ht="15.75" customHeight="1" s="46"/>
    <row r="449" ht="15.75" customHeight="1" s="46"/>
    <row r="450" ht="15.75" customHeight="1" s="46"/>
    <row r="451" ht="15.75" customHeight="1" s="46"/>
    <row r="452" ht="15.75" customHeight="1" s="46"/>
    <row r="453" ht="15.75" customHeight="1" s="46"/>
    <row r="454" ht="15.75" customHeight="1" s="46"/>
    <row r="455" ht="15.75" customHeight="1" s="46"/>
    <row r="456" ht="15.75" customHeight="1" s="46"/>
    <row r="457" ht="15.75" customHeight="1" s="46"/>
    <row r="458" ht="15.75" customHeight="1" s="46"/>
    <row r="459" ht="15.75" customHeight="1" s="46"/>
    <row r="460" ht="15.75" customHeight="1" s="46"/>
    <row r="461" ht="15.75" customHeight="1" s="46"/>
    <row r="462" ht="15.75" customHeight="1" s="46"/>
    <row r="463" ht="15.75" customHeight="1" s="46"/>
    <row r="464" ht="15.75" customHeight="1" s="46"/>
    <row r="465" ht="15.75" customHeight="1" s="46"/>
    <row r="466" ht="15.75" customHeight="1" s="46"/>
    <row r="467" ht="15.75" customHeight="1" s="46"/>
    <row r="468" ht="15.75" customHeight="1" s="46"/>
    <row r="469" ht="15.75" customHeight="1" s="46"/>
    <row r="470" ht="15.75" customHeight="1" s="46"/>
    <row r="471" ht="15.75" customHeight="1" s="46"/>
    <row r="472" ht="15.75" customHeight="1" s="46"/>
    <row r="473" ht="15.75" customHeight="1" s="46"/>
    <row r="474" ht="15.75" customHeight="1" s="46"/>
    <row r="475" ht="15.75" customHeight="1" s="46"/>
    <row r="476" ht="15.75" customHeight="1" s="46"/>
    <row r="477" ht="15.75" customHeight="1" s="46"/>
    <row r="478" ht="15.75" customHeight="1" s="46"/>
    <row r="479" ht="15.75" customHeight="1" s="46"/>
    <row r="480" ht="15.75" customHeight="1" s="46"/>
    <row r="481" ht="15.75" customHeight="1" s="46"/>
    <row r="482" ht="15.75" customHeight="1" s="46"/>
    <row r="483" ht="15.75" customHeight="1" s="46"/>
    <row r="484" ht="15.75" customHeight="1" s="46"/>
    <row r="485" ht="15.75" customHeight="1" s="46"/>
    <row r="486" ht="15.75" customHeight="1" s="46"/>
    <row r="487" ht="15.75" customHeight="1" s="46"/>
    <row r="488" ht="15.75" customHeight="1" s="46"/>
    <row r="489" ht="15.75" customHeight="1" s="46"/>
    <row r="490" ht="15.75" customHeight="1" s="46"/>
    <row r="491" ht="15.75" customHeight="1" s="46"/>
    <row r="492" ht="15.75" customHeight="1" s="46"/>
    <row r="493" ht="15.75" customHeight="1" s="46"/>
    <row r="494" ht="15.75" customHeight="1" s="46"/>
    <row r="495" ht="15.75" customHeight="1" s="46"/>
    <row r="496" ht="15.75" customHeight="1" s="46"/>
    <row r="497" ht="15.75" customHeight="1" s="46"/>
    <row r="498" ht="15.75" customHeight="1" s="46"/>
    <row r="499" ht="15.75" customHeight="1" s="46"/>
    <row r="500" ht="15.75" customHeight="1" s="46"/>
    <row r="501" ht="15.75" customHeight="1" s="46"/>
    <row r="502" ht="15.75" customHeight="1" s="46"/>
    <row r="503" ht="15.75" customHeight="1" s="46"/>
    <row r="504" ht="15.75" customHeight="1" s="46"/>
    <row r="505" ht="15.75" customHeight="1" s="46"/>
    <row r="506" ht="15.75" customHeight="1" s="46"/>
    <row r="507" ht="15.75" customHeight="1" s="46"/>
    <row r="508" ht="15.75" customHeight="1" s="46"/>
    <row r="509" ht="15.75" customHeight="1" s="46"/>
    <row r="510" ht="15.75" customHeight="1" s="46"/>
    <row r="511" ht="15.75" customHeight="1" s="46"/>
    <row r="512" ht="15.75" customHeight="1" s="46"/>
    <row r="513" ht="15.75" customHeight="1" s="46"/>
    <row r="514" ht="15.75" customHeight="1" s="46"/>
    <row r="515" ht="15.75" customHeight="1" s="46"/>
    <row r="516" ht="15.75" customHeight="1" s="46"/>
    <row r="517" ht="15.75" customHeight="1" s="46"/>
    <row r="518" ht="15.75" customHeight="1" s="46"/>
    <row r="519" ht="15.75" customHeight="1" s="46"/>
    <row r="520" ht="15.75" customHeight="1" s="46"/>
    <row r="521" ht="15.75" customHeight="1" s="46"/>
    <row r="522" ht="15.75" customHeight="1" s="46"/>
    <row r="523" ht="15.75" customHeight="1" s="46"/>
    <row r="524" ht="15.75" customHeight="1" s="46"/>
    <row r="525" ht="15.75" customHeight="1" s="46"/>
    <row r="526" ht="15.75" customHeight="1" s="46"/>
    <row r="527" ht="15.75" customHeight="1" s="46"/>
    <row r="528" ht="15.75" customHeight="1" s="46"/>
    <row r="529" ht="15.75" customHeight="1" s="46"/>
    <row r="530" ht="15.75" customHeight="1" s="46"/>
    <row r="531" ht="15.75" customHeight="1" s="46"/>
    <row r="532" ht="15.75" customHeight="1" s="46"/>
    <row r="533" ht="15.75" customHeight="1" s="46"/>
    <row r="534" ht="15.75" customHeight="1" s="46"/>
    <row r="535" ht="15.75" customHeight="1" s="46"/>
    <row r="536" ht="15.75" customHeight="1" s="46"/>
    <row r="537" ht="15.75" customHeight="1" s="46"/>
    <row r="538" ht="15.75" customHeight="1" s="46"/>
    <row r="539" ht="15.75" customHeight="1" s="46"/>
    <row r="540" ht="15.75" customHeight="1" s="46"/>
    <row r="541" ht="15.75" customHeight="1" s="46"/>
    <row r="542" ht="15.75" customHeight="1" s="46"/>
    <row r="543" ht="15.75" customHeight="1" s="46"/>
    <row r="544" ht="15.75" customHeight="1" s="46"/>
    <row r="545" ht="15.75" customHeight="1" s="46"/>
    <row r="546" ht="15.75" customHeight="1" s="46"/>
    <row r="547" ht="15.75" customHeight="1" s="46"/>
    <row r="548" ht="15.75" customHeight="1" s="46"/>
    <row r="549" ht="15.75" customHeight="1" s="46"/>
    <row r="550" ht="15.75" customHeight="1" s="46"/>
    <row r="551" ht="15.75" customHeight="1" s="46"/>
    <row r="552" ht="15.75" customHeight="1" s="46"/>
    <row r="553" ht="15.75" customHeight="1" s="46"/>
    <row r="554" ht="15.75" customHeight="1" s="46"/>
    <row r="555" ht="15.75" customHeight="1" s="46"/>
    <row r="556" ht="15.75" customHeight="1" s="46"/>
    <row r="557" ht="15.75" customHeight="1" s="46"/>
    <row r="558" ht="15.75" customHeight="1" s="46"/>
    <row r="559" ht="15.75" customHeight="1" s="46"/>
    <row r="560" ht="15.75" customHeight="1" s="46"/>
    <row r="561" ht="15.75" customHeight="1" s="46"/>
    <row r="562" ht="15.75" customHeight="1" s="46"/>
    <row r="563" ht="15.75" customHeight="1" s="46"/>
    <row r="564" ht="15.75" customHeight="1" s="46"/>
    <row r="565" ht="15.75" customHeight="1" s="46"/>
    <row r="566" ht="15.75" customHeight="1" s="46"/>
    <row r="567" ht="15.75" customHeight="1" s="46"/>
    <row r="568" ht="15.75" customHeight="1" s="46"/>
    <row r="569" ht="15.75" customHeight="1" s="46"/>
    <row r="570" ht="15.75" customHeight="1" s="46"/>
    <row r="571" ht="15.75" customHeight="1" s="46"/>
    <row r="572" ht="15.75" customHeight="1" s="46"/>
    <row r="573" ht="15.75" customHeight="1" s="46"/>
    <row r="574" ht="15.75" customHeight="1" s="46"/>
    <row r="575" ht="15.75" customHeight="1" s="46"/>
    <row r="576" ht="15.75" customHeight="1" s="46"/>
    <row r="577" ht="15.75" customHeight="1" s="46"/>
    <row r="578" ht="15.75" customHeight="1" s="46"/>
    <row r="579" ht="15.75" customHeight="1" s="46"/>
    <row r="580" ht="15.75" customHeight="1" s="46"/>
    <row r="581" ht="15.75" customHeight="1" s="46"/>
    <row r="582" ht="15.75" customHeight="1" s="46"/>
    <row r="583" ht="15.75" customHeight="1" s="46"/>
    <row r="584" ht="15.75" customHeight="1" s="46"/>
    <row r="585" ht="15.75" customHeight="1" s="46"/>
    <row r="586" ht="15.75" customHeight="1" s="46"/>
    <row r="587" ht="15.75" customHeight="1" s="46"/>
    <row r="588" ht="15.75" customHeight="1" s="46"/>
    <row r="589" ht="15.75" customHeight="1" s="46"/>
    <row r="590" ht="15.75" customHeight="1" s="46"/>
    <row r="591" ht="15.75" customHeight="1" s="46"/>
    <row r="592" ht="15.75" customHeight="1" s="46"/>
    <row r="593" ht="15.75" customHeight="1" s="46"/>
    <row r="594" ht="15.75" customHeight="1" s="46"/>
    <row r="595" ht="15.75" customHeight="1" s="46"/>
    <row r="596" ht="15.75" customHeight="1" s="46"/>
    <row r="597" ht="15.75" customHeight="1" s="46"/>
    <row r="598" ht="15.75" customHeight="1" s="46"/>
    <row r="599" ht="15.75" customHeight="1" s="46"/>
    <row r="600" ht="15.75" customHeight="1" s="46"/>
    <row r="601" ht="15.75" customHeight="1" s="46"/>
    <row r="602" ht="15.75" customHeight="1" s="46"/>
    <row r="603" ht="15.75" customHeight="1" s="46"/>
    <row r="604" ht="15.75" customHeight="1" s="46"/>
    <row r="605" ht="15.75" customHeight="1" s="46"/>
    <row r="606" ht="15.75" customHeight="1" s="46"/>
    <row r="607" ht="15.75" customHeight="1" s="46"/>
    <row r="608" ht="15.75" customHeight="1" s="46"/>
    <row r="609" ht="15.75" customHeight="1" s="46"/>
    <row r="610" ht="15.75" customHeight="1" s="46"/>
    <row r="611" ht="15.75" customHeight="1" s="46"/>
    <row r="612" ht="15.75" customHeight="1" s="46"/>
    <row r="613" ht="15.75" customHeight="1" s="46"/>
    <row r="614" ht="15.75" customHeight="1" s="46"/>
    <row r="615" ht="15.75" customHeight="1" s="46"/>
    <row r="616" ht="15.75" customHeight="1" s="46"/>
    <row r="617" ht="15.75" customHeight="1" s="46"/>
    <row r="618" ht="15.75" customHeight="1" s="46"/>
    <row r="619" ht="15.75" customHeight="1" s="46"/>
    <row r="620" ht="15.75" customHeight="1" s="46"/>
    <row r="621" ht="15.75" customHeight="1" s="46"/>
    <row r="622" ht="15.75" customHeight="1" s="46"/>
    <row r="623" ht="15.75" customHeight="1" s="46"/>
    <row r="624" ht="15.75" customHeight="1" s="46"/>
    <row r="625" ht="15.75" customHeight="1" s="46"/>
    <row r="626" ht="15.75" customHeight="1" s="46"/>
    <row r="627" ht="15.75" customHeight="1" s="46"/>
    <row r="628" ht="15.75" customHeight="1" s="46"/>
    <row r="629" ht="15.75" customHeight="1" s="46"/>
    <row r="630" ht="15.75" customHeight="1" s="46"/>
    <row r="631" ht="15.75" customHeight="1" s="46"/>
    <row r="632" ht="15.75" customHeight="1" s="46"/>
    <row r="633" ht="15.75" customHeight="1" s="46"/>
    <row r="634" ht="15.75" customHeight="1" s="46"/>
    <row r="635" ht="15.75" customHeight="1" s="46"/>
    <row r="636" ht="15.75" customHeight="1" s="46"/>
    <row r="637" ht="15.75" customHeight="1" s="46"/>
    <row r="638" ht="15.75" customHeight="1" s="46"/>
    <row r="639" ht="15.75" customHeight="1" s="46"/>
    <row r="640" ht="15.75" customHeight="1" s="46"/>
    <row r="641" ht="15.75" customHeight="1" s="46"/>
    <row r="642" ht="15.75" customHeight="1" s="46"/>
    <row r="643" ht="15.75" customHeight="1" s="46"/>
    <row r="644" ht="15.75" customHeight="1" s="46"/>
    <row r="645" ht="15.75" customHeight="1" s="46"/>
    <row r="646" ht="15.75" customHeight="1" s="46"/>
    <row r="647" ht="15.75" customHeight="1" s="46"/>
    <row r="648" ht="15.75" customHeight="1" s="46"/>
    <row r="649" ht="15.75" customHeight="1" s="46"/>
    <row r="650" ht="15.75" customHeight="1" s="46"/>
    <row r="651" ht="15.75" customHeight="1" s="46"/>
    <row r="652" ht="15.75" customHeight="1" s="46"/>
    <row r="653" ht="15.75" customHeight="1" s="46"/>
    <row r="654" ht="15.75" customHeight="1" s="46"/>
    <row r="655" ht="15.75" customHeight="1" s="46"/>
    <row r="656" ht="15.75" customHeight="1" s="46"/>
    <row r="657" ht="15.75" customHeight="1" s="46"/>
    <row r="658" ht="15.75" customHeight="1" s="46"/>
    <row r="659" ht="15.75" customHeight="1" s="46"/>
    <row r="660" ht="15.75" customHeight="1" s="46"/>
    <row r="661" ht="15.75" customHeight="1" s="46"/>
    <row r="662" ht="15.75" customHeight="1" s="46"/>
    <row r="663" ht="15.75" customHeight="1" s="46"/>
    <row r="664" ht="15.75" customHeight="1" s="46"/>
    <row r="665" ht="15.75" customHeight="1" s="46"/>
    <row r="666" ht="15.75" customHeight="1" s="46"/>
    <row r="667" ht="15.75" customHeight="1" s="46"/>
    <row r="668" ht="15.75" customHeight="1" s="46"/>
    <row r="669" ht="15.75" customHeight="1" s="46"/>
    <row r="670" ht="15.75" customHeight="1" s="46"/>
    <row r="671" ht="15.75" customHeight="1" s="46"/>
    <row r="672" ht="15.75" customHeight="1" s="46"/>
    <row r="673" ht="15.75" customHeight="1" s="46"/>
    <row r="674" ht="15.75" customHeight="1" s="46"/>
    <row r="675" ht="15.75" customHeight="1" s="46"/>
    <row r="676" ht="15.75" customHeight="1" s="46"/>
    <row r="677" ht="15.75" customHeight="1" s="46"/>
    <row r="678" ht="15.75" customHeight="1" s="46"/>
    <row r="679" ht="15.75" customHeight="1" s="46"/>
    <row r="680" ht="15.75" customHeight="1" s="46"/>
    <row r="681" ht="15.75" customHeight="1" s="46"/>
    <row r="682" ht="15.75" customHeight="1" s="46"/>
    <row r="683" ht="15.75" customHeight="1" s="46"/>
    <row r="684" ht="15.75" customHeight="1" s="46"/>
    <row r="685" ht="15.75" customHeight="1" s="46"/>
    <row r="686" ht="15.75" customHeight="1" s="46"/>
    <row r="687" ht="15.75" customHeight="1" s="46"/>
    <row r="688" ht="15.75" customHeight="1" s="46"/>
    <row r="689" ht="15.75" customHeight="1" s="46"/>
    <row r="690" ht="15.75" customHeight="1" s="46"/>
    <row r="691" ht="15.75" customHeight="1" s="46"/>
    <row r="692" ht="15.75" customHeight="1" s="46"/>
    <row r="693" ht="15.75" customHeight="1" s="46"/>
    <row r="694" ht="15.75" customHeight="1" s="46"/>
    <row r="695" ht="15.75" customHeight="1" s="46"/>
    <row r="696" ht="15.75" customHeight="1" s="46"/>
    <row r="697" ht="15.75" customHeight="1" s="46"/>
    <row r="698" ht="15.75" customHeight="1" s="46"/>
    <row r="699" ht="15.75" customHeight="1" s="46"/>
    <row r="700" ht="15.75" customHeight="1" s="46"/>
    <row r="701" ht="15.75" customHeight="1" s="46"/>
    <row r="702" ht="15.75" customHeight="1" s="46"/>
    <row r="703" ht="15.75" customHeight="1" s="46"/>
    <row r="704" ht="15.75" customHeight="1" s="46"/>
    <row r="705" ht="15.75" customHeight="1" s="46"/>
    <row r="706" ht="15.75" customHeight="1" s="46"/>
    <row r="707" ht="15.75" customHeight="1" s="46"/>
    <row r="708" ht="15.75" customHeight="1" s="46"/>
    <row r="709" ht="15.75" customHeight="1" s="46"/>
    <row r="710" ht="15.75" customHeight="1" s="46"/>
    <row r="711" ht="15.75" customHeight="1" s="46"/>
    <row r="712" ht="15.75" customHeight="1" s="46"/>
    <row r="713" ht="15.75" customHeight="1" s="46"/>
    <row r="714" ht="15.75" customHeight="1" s="46"/>
    <row r="715" ht="15.75" customHeight="1" s="46"/>
    <row r="716" ht="15.75" customHeight="1" s="46"/>
    <row r="717" ht="15.75" customHeight="1" s="46"/>
    <row r="718" ht="15.75" customHeight="1" s="46"/>
    <row r="719" ht="15.75" customHeight="1" s="46"/>
    <row r="720" ht="15.75" customHeight="1" s="46"/>
    <row r="721" ht="15.75" customHeight="1" s="46"/>
    <row r="722" ht="15.75" customHeight="1" s="46"/>
    <row r="723" ht="15.75" customHeight="1" s="46"/>
    <row r="724" ht="15.75" customHeight="1" s="46"/>
    <row r="725" ht="15.75" customHeight="1" s="46"/>
    <row r="726" ht="15.75" customHeight="1" s="46"/>
    <row r="727" ht="15.75" customHeight="1" s="46"/>
    <row r="728" ht="15.75" customHeight="1" s="46"/>
    <row r="729" ht="15.75" customHeight="1" s="46"/>
    <row r="730" ht="15.75" customHeight="1" s="46"/>
    <row r="731" ht="15.75" customHeight="1" s="46"/>
    <row r="732" ht="15.75" customHeight="1" s="46"/>
    <row r="733" ht="15.75" customHeight="1" s="46"/>
    <row r="734" ht="15.75" customHeight="1" s="46"/>
    <row r="735" ht="15.75" customHeight="1" s="46"/>
    <row r="736" ht="15.75" customHeight="1" s="46"/>
    <row r="737" ht="15.75" customHeight="1" s="46"/>
    <row r="738" ht="15.75" customHeight="1" s="46"/>
    <row r="739" ht="15.75" customHeight="1" s="46"/>
    <row r="740" ht="15.75" customHeight="1" s="46"/>
    <row r="741" ht="15.75" customHeight="1" s="46"/>
    <row r="742" ht="15.75" customHeight="1" s="46"/>
    <row r="743" ht="15.75" customHeight="1" s="46"/>
    <row r="744" ht="15.75" customHeight="1" s="46"/>
    <row r="745" ht="15.75" customHeight="1" s="46"/>
    <row r="746" ht="15.75" customHeight="1" s="46"/>
    <row r="747" ht="15.75" customHeight="1" s="46"/>
    <row r="748" ht="15.75" customHeight="1" s="46"/>
    <row r="749" ht="15.75" customHeight="1" s="46"/>
    <row r="750" ht="15.75" customHeight="1" s="46"/>
    <row r="751" ht="15.75" customHeight="1" s="46"/>
    <row r="752" ht="15.75" customHeight="1" s="46"/>
    <row r="753" ht="15.75" customHeight="1" s="46"/>
    <row r="754" ht="15.75" customHeight="1" s="46"/>
    <row r="755" ht="15.75" customHeight="1" s="46"/>
    <row r="756" ht="15.75" customHeight="1" s="46"/>
    <row r="757" ht="15.75" customHeight="1" s="46"/>
    <row r="758" ht="15.75" customHeight="1" s="46"/>
    <row r="759" ht="15.75" customHeight="1" s="46"/>
    <row r="760" ht="15.75" customHeight="1" s="46"/>
    <row r="761" ht="15.75" customHeight="1" s="46"/>
    <row r="762" ht="15.75" customHeight="1" s="46"/>
    <row r="763" ht="15.75" customHeight="1" s="46"/>
    <row r="764" ht="15.75" customHeight="1" s="46"/>
    <row r="765" ht="15.75" customHeight="1" s="46"/>
    <row r="766" ht="15.75" customHeight="1" s="46"/>
    <row r="767" ht="15.75" customHeight="1" s="46"/>
    <row r="768" ht="15.75" customHeight="1" s="46"/>
    <row r="769" ht="15.75" customHeight="1" s="46"/>
    <row r="770" ht="15.75" customHeight="1" s="46"/>
    <row r="771" ht="15.75" customHeight="1" s="46"/>
    <row r="772" ht="15.75" customHeight="1" s="46"/>
    <row r="773" ht="15.75" customHeight="1" s="46"/>
    <row r="774" ht="15.75" customHeight="1" s="46"/>
    <row r="775" ht="15.75" customHeight="1" s="46"/>
    <row r="776" ht="15.75" customHeight="1" s="46"/>
    <row r="777" ht="15.75" customHeight="1" s="46"/>
    <row r="778" ht="15.75" customHeight="1" s="46"/>
    <row r="779" ht="15.75" customHeight="1" s="46"/>
    <row r="780" ht="15.75" customHeight="1" s="46"/>
    <row r="781" ht="15.75" customHeight="1" s="46"/>
    <row r="782" ht="15.75" customHeight="1" s="46"/>
    <row r="783" ht="15.75" customHeight="1" s="46"/>
    <row r="784" ht="15.75" customHeight="1" s="46"/>
    <row r="785" ht="15.75" customHeight="1" s="46"/>
    <row r="786" ht="15.75" customHeight="1" s="46"/>
    <row r="787" ht="15.75" customHeight="1" s="46"/>
    <row r="788" ht="15.75" customHeight="1" s="46"/>
    <row r="789" ht="15.75" customHeight="1" s="46"/>
    <row r="790" ht="15.75" customHeight="1" s="46"/>
    <row r="791" ht="15.75" customHeight="1" s="46"/>
    <row r="792" ht="15.75" customHeight="1" s="46"/>
    <row r="793" ht="15.75" customHeight="1" s="46"/>
    <row r="794" ht="15.75" customHeight="1" s="46"/>
    <row r="795" ht="15.75" customHeight="1" s="46"/>
    <row r="796" ht="15.75" customHeight="1" s="46"/>
    <row r="797" ht="15.75" customHeight="1" s="46"/>
    <row r="798" ht="15.75" customHeight="1" s="46"/>
    <row r="799" ht="15.75" customHeight="1" s="46"/>
    <row r="800" ht="15.75" customHeight="1" s="46"/>
    <row r="801" ht="15.75" customHeight="1" s="46"/>
    <row r="802" ht="15.75" customHeight="1" s="46"/>
    <row r="803" ht="15.75" customHeight="1" s="46"/>
    <row r="804" ht="15.75" customHeight="1" s="46"/>
    <row r="805" ht="15.75" customHeight="1" s="46"/>
    <row r="806" ht="15.75" customHeight="1" s="46"/>
    <row r="807" ht="15.75" customHeight="1" s="46"/>
    <row r="808" ht="15.75" customHeight="1" s="46"/>
    <row r="809" ht="15.75" customHeight="1" s="46"/>
    <row r="810" ht="15.75" customHeight="1" s="46"/>
    <row r="811" ht="15.75" customHeight="1" s="46"/>
    <row r="812" ht="15.75" customHeight="1" s="46"/>
    <row r="813" ht="15.75" customHeight="1" s="46"/>
    <row r="814" ht="15.75" customHeight="1" s="46"/>
    <row r="815" ht="15.75" customHeight="1" s="46"/>
    <row r="816" ht="15.75" customHeight="1" s="46"/>
    <row r="817" ht="15.75" customHeight="1" s="46"/>
    <row r="818" ht="15.75" customHeight="1" s="46"/>
    <row r="819" ht="15.75" customHeight="1" s="46"/>
    <row r="820" ht="15.75" customHeight="1" s="46"/>
    <row r="821" ht="15.75" customHeight="1" s="46"/>
    <row r="822" ht="15.75" customHeight="1" s="46"/>
    <row r="823" ht="15.75" customHeight="1" s="46"/>
    <row r="824" ht="15.75" customHeight="1" s="46"/>
    <row r="825" ht="15.75" customHeight="1" s="46"/>
    <row r="826" ht="15.75" customHeight="1" s="46"/>
    <row r="827" ht="15.75" customHeight="1" s="46"/>
    <row r="828" ht="15.75" customHeight="1" s="46"/>
    <row r="829" ht="15.75" customHeight="1" s="46"/>
    <row r="830" ht="15.75" customHeight="1" s="46"/>
    <row r="831" ht="15.75" customHeight="1" s="46"/>
    <row r="832" ht="15.75" customHeight="1" s="46"/>
    <row r="833" ht="15.75" customHeight="1" s="46"/>
    <row r="834" ht="15.75" customHeight="1" s="46"/>
    <row r="835" ht="15.75" customHeight="1" s="46"/>
    <row r="836" ht="15.75" customHeight="1" s="46"/>
    <row r="837" ht="15.75" customHeight="1" s="46"/>
    <row r="838" ht="15.75" customHeight="1" s="46"/>
    <row r="839" ht="15.75" customHeight="1" s="46"/>
    <row r="840" ht="15.75" customHeight="1" s="46"/>
    <row r="841" ht="15.75" customHeight="1" s="46"/>
    <row r="842" ht="15.75" customHeight="1" s="46"/>
    <row r="843" ht="15.75" customHeight="1" s="46"/>
    <row r="844" ht="15.75" customHeight="1" s="46"/>
    <row r="845" ht="15.75" customHeight="1" s="46"/>
    <row r="846" ht="15.75" customHeight="1" s="46"/>
    <row r="847" ht="15.75" customHeight="1" s="46"/>
    <row r="848" ht="15.75" customHeight="1" s="46"/>
    <row r="849" ht="15.75" customHeight="1" s="46"/>
    <row r="850" ht="15.75" customHeight="1" s="46"/>
    <row r="851" ht="15.75" customHeight="1" s="46"/>
    <row r="852" ht="15.75" customHeight="1" s="46"/>
    <row r="853" ht="15.75" customHeight="1" s="46"/>
    <row r="854" ht="15.75" customHeight="1" s="46"/>
    <row r="855" ht="15.75" customHeight="1" s="46"/>
    <row r="856" ht="15.75" customHeight="1" s="46"/>
    <row r="857" ht="15.75" customHeight="1" s="46"/>
    <row r="858" ht="15.75" customHeight="1" s="46"/>
    <row r="859" ht="15.75" customHeight="1" s="46"/>
    <row r="860" ht="15.75" customHeight="1" s="46"/>
    <row r="861" ht="15.75" customHeight="1" s="46"/>
    <row r="862" ht="15.75" customHeight="1" s="46"/>
    <row r="863" ht="15.75" customHeight="1" s="46"/>
    <row r="864" ht="15.75" customHeight="1" s="46"/>
    <row r="865" ht="15.75" customHeight="1" s="46"/>
    <row r="866" ht="15.75" customHeight="1" s="46"/>
    <row r="867" ht="15.75" customHeight="1" s="46"/>
    <row r="868" ht="15.75" customHeight="1" s="46"/>
    <row r="869" ht="15.75" customHeight="1" s="46"/>
    <row r="870" ht="15.75" customHeight="1" s="46"/>
    <row r="871" ht="15.75" customHeight="1" s="46"/>
    <row r="872" ht="15.75" customHeight="1" s="46"/>
    <row r="873" ht="15.75" customHeight="1" s="46"/>
    <row r="874" ht="15.75" customHeight="1" s="46"/>
    <row r="875" ht="15.75" customHeight="1" s="46"/>
    <row r="876" ht="15.75" customHeight="1" s="46"/>
    <row r="877" ht="15.75" customHeight="1" s="46"/>
    <row r="878" ht="15.75" customHeight="1" s="46"/>
    <row r="879" ht="15.75" customHeight="1" s="46"/>
    <row r="880" ht="15.75" customHeight="1" s="46"/>
    <row r="881" ht="15.75" customHeight="1" s="46"/>
    <row r="882" ht="15.75" customHeight="1" s="46"/>
    <row r="883" ht="15.75" customHeight="1" s="46"/>
    <row r="884" ht="15.75" customHeight="1" s="46"/>
    <row r="885" ht="15.75" customHeight="1" s="46"/>
    <row r="886" ht="15.75" customHeight="1" s="46"/>
    <row r="887" ht="15.75" customHeight="1" s="46"/>
    <row r="888" ht="15.75" customHeight="1" s="46"/>
    <row r="889" ht="15.75" customHeight="1" s="46"/>
    <row r="890" ht="15.75" customHeight="1" s="46"/>
    <row r="891" ht="15.75" customHeight="1" s="46"/>
    <row r="892" ht="15.75" customHeight="1" s="46"/>
    <row r="893" ht="15.75" customHeight="1" s="46"/>
    <row r="894" ht="15.75" customHeight="1" s="46"/>
    <row r="895" ht="15.75" customHeight="1" s="46"/>
    <row r="896" ht="15.75" customHeight="1" s="46"/>
    <row r="897" ht="15.75" customHeight="1" s="46"/>
    <row r="898" ht="15.75" customHeight="1" s="46"/>
    <row r="899" ht="15.75" customHeight="1" s="46"/>
    <row r="900" ht="15.75" customHeight="1" s="46"/>
    <row r="901" ht="15.75" customHeight="1" s="46"/>
    <row r="902" ht="15.75" customHeight="1" s="46"/>
    <row r="903" ht="15.75" customHeight="1" s="46"/>
    <row r="904" ht="15.75" customHeight="1" s="46"/>
    <row r="905" ht="15.75" customHeight="1" s="46"/>
    <row r="906" ht="15.75" customHeight="1" s="46"/>
    <row r="907" ht="15.75" customHeight="1" s="46"/>
    <row r="908" ht="15.75" customHeight="1" s="46"/>
    <row r="909" ht="15.75" customHeight="1" s="46"/>
    <row r="910" ht="15.75" customHeight="1" s="46"/>
    <row r="911" ht="15.75" customHeight="1" s="46"/>
    <row r="912" ht="15.75" customHeight="1" s="46"/>
    <row r="913" ht="15.75" customHeight="1" s="46"/>
    <row r="914" ht="15.75" customHeight="1" s="46"/>
    <row r="915" ht="15.75" customHeight="1" s="46"/>
    <row r="916" ht="15.75" customHeight="1" s="46"/>
    <row r="917" ht="15.75" customHeight="1" s="46"/>
    <row r="918" ht="15.75" customHeight="1" s="46"/>
    <row r="919" ht="15.75" customHeight="1" s="46"/>
    <row r="920" ht="15.75" customHeight="1" s="46"/>
    <row r="921" ht="15.75" customHeight="1" s="46"/>
    <row r="922" ht="15.75" customHeight="1" s="46"/>
    <row r="923" ht="15.75" customHeight="1" s="46"/>
    <row r="924" ht="15.75" customHeight="1" s="46"/>
    <row r="925" ht="15.75" customHeight="1" s="46"/>
    <row r="926" ht="15.75" customHeight="1" s="46"/>
    <row r="927" ht="15.75" customHeight="1" s="46"/>
    <row r="928" ht="15.75" customHeight="1" s="46"/>
    <row r="929" ht="15.75" customHeight="1" s="46"/>
    <row r="930" ht="15.75" customHeight="1" s="46"/>
    <row r="931" ht="15.75" customHeight="1" s="46"/>
    <row r="932" ht="15.75" customHeight="1" s="46"/>
    <row r="933" ht="15.75" customHeight="1" s="46"/>
    <row r="934" ht="15.75" customHeight="1" s="46"/>
    <row r="935" ht="15.75" customHeight="1" s="46"/>
    <row r="936" ht="15.75" customHeight="1" s="46"/>
    <row r="937" ht="15.75" customHeight="1" s="46"/>
    <row r="938" ht="15.75" customHeight="1" s="46"/>
    <row r="939" ht="15.75" customHeight="1" s="46"/>
    <row r="940" ht="15.75" customHeight="1" s="46"/>
    <row r="941" ht="15.75" customHeight="1" s="46"/>
    <row r="942" ht="15.75" customHeight="1" s="46"/>
    <row r="943" ht="15.75" customHeight="1" s="46"/>
    <row r="944" ht="15.75" customHeight="1" s="46"/>
    <row r="945" ht="15.75" customHeight="1" s="46"/>
    <row r="946" ht="15.75" customHeight="1" s="46"/>
    <row r="947" ht="15.75" customHeight="1" s="46"/>
    <row r="948" ht="15.75" customHeight="1" s="46"/>
    <row r="949" ht="15.75" customHeight="1" s="46"/>
    <row r="950" ht="15.75" customHeight="1" s="46"/>
    <row r="951" ht="15.75" customHeight="1" s="46"/>
    <row r="952" ht="15.75" customHeight="1" s="46"/>
    <row r="953" ht="15.75" customHeight="1" s="46"/>
    <row r="954" ht="15.75" customHeight="1" s="46"/>
    <row r="955" ht="15.75" customHeight="1" s="46"/>
    <row r="956" ht="15.75" customHeight="1" s="46"/>
    <row r="957" ht="15.75" customHeight="1" s="46"/>
    <row r="958" ht="15.75" customHeight="1" s="46"/>
    <row r="959" ht="15.75" customHeight="1" s="46"/>
    <row r="960" ht="15.75" customHeight="1" s="46"/>
    <row r="961" ht="15.75" customHeight="1" s="46"/>
    <row r="962" ht="15.75" customHeight="1" s="46"/>
    <row r="963" ht="15.75" customHeight="1" s="46"/>
    <row r="964" ht="15.75" customHeight="1" s="46"/>
    <row r="965" ht="15.75" customHeight="1" s="46"/>
    <row r="966" ht="15.75" customHeight="1" s="46"/>
    <row r="967" ht="15.75" customHeight="1" s="46"/>
    <row r="968" ht="15.75" customHeight="1" s="46"/>
    <row r="969" ht="15.75" customHeight="1" s="46"/>
    <row r="970" ht="15.75" customHeight="1" s="46"/>
    <row r="971" ht="15.75" customHeight="1" s="46"/>
    <row r="972" ht="15.75" customHeight="1" s="46"/>
    <row r="973" ht="15.75" customHeight="1" s="46"/>
    <row r="974" ht="15.75" customHeight="1" s="46"/>
    <row r="975" ht="15.75" customHeight="1" s="46"/>
    <row r="976" ht="15.75" customHeight="1" s="46"/>
    <row r="977" ht="15.75" customHeight="1" s="46"/>
    <row r="978" ht="15.75" customHeight="1" s="46"/>
    <row r="979" ht="15.75" customHeight="1" s="46"/>
    <row r="980" ht="15.75" customHeight="1" s="46"/>
    <row r="981" ht="15.75" customHeight="1" s="46"/>
    <row r="982" ht="15.75" customHeight="1" s="46"/>
    <row r="983" ht="15.75" customHeight="1" s="46"/>
    <row r="984" ht="15.75" customHeight="1" s="46"/>
    <row r="985" ht="15.75" customHeight="1" s="46"/>
    <row r="986" ht="15.75" customHeight="1" s="46"/>
    <row r="987" ht="15.75" customHeight="1" s="46"/>
    <row r="988" ht="15.75" customHeight="1" s="46"/>
    <row r="989" ht="15.75" customHeight="1" s="46"/>
    <row r="990" ht="15.75" customHeight="1" s="46"/>
    <row r="991" ht="15.75" customHeight="1" s="46"/>
    <row r="992" ht="15.75" customHeight="1" s="46"/>
    <row r="993" ht="15.75" customHeight="1" s="46"/>
    <row r="994" ht="15.75" customHeight="1" s="46"/>
    <row r="995" ht="15.75" customHeight="1" s="46"/>
    <row r="996" ht="15.75" customHeight="1" s="46"/>
    <row r="997" ht="15.75" customHeight="1" s="46"/>
    <row r="998" ht="15.75" customHeight="1" s="46"/>
    <row r="999" ht="15.75" customHeight="1" s="46"/>
    <row r="1000" ht="15.75" customHeight="1" s="46"/>
    <row r="1001" ht="15.75" customHeight="1" s="46"/>
  </sheetData>
  <hyperlinks>
    <hyperlink xmlns:r="http://schemas.openxmlformats.org/officeDocument/2006/relationships" ref="C2" r:id="rId1"/>
    <hyperlink xmlns:r="http://schemas.openxmlformats.org/officeDocument/2006/relationships" ref="R2" r:id="rId2"/>
    <hyperlink xmlns:r="http://schemas.openxmlformats.org/officeDocument/2006/relationships" ref="S2" r:id="rId3"/>
    <hyperlink xmlns:r="http://schemas.openxmlformats.org/officeDocument/2006/relationships" ref="T2" r:id="rId4"/>
    <hyperlink xmlns:r="http://schemas.openxmlformats.org/officeDocument/2006/relationships" ref="C3" r:id="rId5"/>
    <hyperlink xmlns:r="http://schemas.openxmlformats.org/officeDocument/2006/relationships" ref="R3" r:id="rId6"/>
    <hyperlink xmlns:r="http://schemas.openxmlformats.org/officeDocument/2006/relationships" ref="S3" r:id="rId7"/>
    <hyperlink xmlns:r="http://schemas.openxmlformats.org/officeDocument/2006/relationships" ref="C4" r:id="rId8"/>
    <hyperlink xmlns:r="http://schemas.openxmlformats.org/officeDocument/2006/relationships" ref="C5" r:id="rId9"/>
    <hyperlink xmlns:r="http://schemas.openxmlformats.org/officeDocument/2006/relationships" ref="R5" r:id="rId10"/>
    <hyperlink xmlns:r="http://schemas.openxmlformats.org/officeDocument/2006/relationships" ref="C6" r:id="rId11"/>
    <hyperlink xmlns:r="http://schemas.openxmlformats.org/officeDocument/2006/relationships" ref="R6" r:id="rId12"/>
    <hyperlink xmlns:r="http://schemas.openxmlformats.org/officeDocument/2006/relationships" ref="C7" r:id="rId13"/>
    <hyperlink xmlns:r="http://schemas.openxmlformats.org/officeDocument/2006/relationships" ref="C8" r:id="rId14"/>
    <hyperlink xmlns:r="http://schemas.openxmlformats.org/officeDocument/2006/relationships" ref="R8" r:id="rId15"/>
    <hyperlink xmlns:r="http://schemas.openxmlformats.org/officeDocument/2006/relationships" ref="S8" r:id="rId16"/>
    <hyperlink xmlns:r="http://schemas.openxmlformats.org/officeDocument/2006/relationships" ref="T8" r:id="rId17"/>
    <hyperlink xmlns:r="http://schemas.openxmlformats.org/officeDocument/2006/relationships" ref="C9" r:id="rId18"/>
    <hyperlink xmlns:r="http://schemas.openxmlformats.org/officeDocument/2006/relationships" ref="R9" r:id="rId19"/>
    <hyperlink xmlns:r="http://schemas.openxmlformats.org/officeDocument/2006/relationships" ref="C10" r:id="rId20"/>
    <hyperlink xmlns:r="http://schemas.openxmlformats.org/officeDocument/2006/relationships" ref="R10" r:id="rId21"/>
    <hyperlink xmlns:r="http://schemas.openxmlformats.org/officeDocument/2006/relationships" ref="C11" r:id="rId22"/>
    <hyperlink xmlns:r="http://schemas.openxmlformats.org/officeDocument/2006/relationships" ref="R11" r:id="rId23"/>
    <hyperlink xmlns:r="http://schemas.openxmlformats.org/officeDocument/2006/relationships" ref="S11" r:id="rId24"/>
    <hyperlink xmlns:r="http://schemas.openxmlformats.org/officeDocument/2006/relationships" ref="T11" r:id="rId25"/>
    <hyperlink xmlns:r="http://schemas.openxmlformats.org/officeDocument/2006/relationships" ref="C12" r:id="rId26"/>
    <hyperlink xmlns:r="http://schemas.openxmlformats.org/officeDocument/2006/relationships" ref="R12" r:id="rId27"/>
    <hyperlink xmlns:r="http://schemas.openxmlformats.org/officeDocument/2006/relationships" ref="C13" r:id="rId28"/>
    <hyperlink xmlns:r="http://schemas.openxmlformats.org/officeDocument/2006/relationships" ref="R13" r:id="rId29"/>
    <hyperlink xmlns:r="http://schemas.openxmlformats.org/officeDocument/2006/relationships" ref="C14" r:id="rId30"/>
    <hyperlink xmlns:r="http://schemas.openxmlformats.org/officeDocument/2006/relationships" ref="R14" r:id="rId31"/>
    <hyperlink xmlns:r="http://schemas.openxmlformats.org/officeDocument/2006/relationships" ref="S14" r:id="rId32"/>
    <hyperlink xmlns:r="http://schemas.openxmlformats.org/officeDocument/2006/relationships" ref="C15" r:id="rId33"/>
    <hyperlink xmlns:r="http://schemas.openxmlformats.org/officeDocument/2006/relationships" ref="R15" r:id="rId34"/>
    <hyperlink xmlns:r="http://schemas.openxmlformats.org/officeDocument/2006/relationships" ref="C16" r:id="rId35"/>
    <hyperlink xmlns:r="http://schemas.openxmlformats.org/officeDocument/2006/relationships" ref="R16" r:id="rId36"/>
    <hyperlink xmlns:r="http://schemas.openxmlformats.org/officeDocument/2006/relationships" ref="C17" r:id="rId37"/>
    <hyperlink xmlns:r="http://schemas.openxmlformats.org/officeDocument/2006/relationships" ref="R17" r:id="rId38"/>
    <hyperlink xmlns:r="http://schemas.openxmlformats.org/officeDocument/2006/relationships" ref="S17" r:id="rId39"/>
    <hyperlink xmlns:r="http://schemas.openxmlformats.org/officeDocument/2006/relationships" ref="C18" r:id="rId40"/>
    <hyperlink xmlns:r="http://schemas.openxmlformats.org/officeDocument/2006/relationships" ref="C19" r:id="rId41"/>
    <hyperlink xmlns:r="http://schemas.openxmlformats.org/officeDocument/2006/relationships" ref="C20" r:id="rId42"/>
    <hyperlink xmlns:r="http://schemas.openxmlformats.org/officeDocument/2006/relationships" ref="R20" r:id="rId43"/>
    <hyperlink xmlns:r="http://schemas.openxmlformats.org/officeDocument/2006/relationships" ref="C21" r:id="rId44"/>
    <hyperlink xmlns:r="http://schemas.openxmlformats.org/officeDocument/2006/relationships" ref="C22" r:id="rId45"/>
    <hyperlink xmlns:r="http://schemas.openxmlformats.org/officeDocument/2006/relationships" ref="R22" r:id="rId46"/>
    <hyperlink xmlns:r="http://schemas.openxmlformats.org/officeDocument/2006/relationships" ref="C23" r:id="rId47"/>
    <hyperlink xmlns:r="http://schemas.openxmlformats.org/officeDocument/2006/relationships" ref="C24" r:id="rId48"/>
    <hyperlink xmlns:r="http://schemas.openxmlformats.org/officeDocument/2006/relationships" ref="R24" r:id="rId49"/>
    <hyperlink xmlns:r="http://schemas.openxmlformats.org/officeDocument/2006/relationships" ref="C25" r:id="rId50"/>
    <hyperlink xmlns:r="http://schemas.openxmlformats.org/officeDocument/2006/relationships" ref="R25" r:id="rId51"/>
    <hyperlink xmlns:r="http://schemas.openxmlformats.org/officeDocument/2006/relationships" ref="C26" r:id="rId52"/>
    <hyperlink xmlns:r="http://schemas.openxmlformats.org/officeDocument/2006/relationships" ref="R26" r:id="rId53"/>
    <hyperlink xmlns:r="http://schemas.openxmlformats.org/officeDocument/2006/relationships" ref="C27" r:id="rId54"/>
    <hyperlink xmlns:r="http://schemas.openxmlformats.org/officeDocument/2006/relationships" ref="C28" r:id="rId55"/>
    <hyperlink xmlns:r="http://schemas.openxmlformats.org/officeDocument/2006/relationships" ref="R28" r:id="rId56"/>
    <hyperlink xmlns:r="http://schemas.openxmlformats.org/officeDocument/2006/relationships" ref="C29" r:id="rId57"/>
    <hyperlink xmlns:r="http://schemas.openxmlformats.org/officeDocument/2006/relationships" ref="C30" r:id="rId58"/>
    <hyperlink xmlns:r="http://schemas.openxmlformats.org/officeDocument/2006/relationships" ref="C31" r:id="rId59"/>
    <hyperlink xmlns:r="http://schemas.openxmlformats.org/officeDocument/2006/relationships" ref="C32" r:id="rId60"/>
    <hyperlink xmlns:r="http://schemas.openxmlformats.org/officeDocument/2006/relationships" ref="C33" r:id="rId61"/>
    <hyperlink xmlns:r="http://schemas.openxmlformats.org/officeDocument/2006/relationships" ref="C34" r:id="rId62"/>
    <hyperlink xmlns:r="http://schemas.openxmlformats.org/officeDocument/2006/relationships" ref="C35" r:id="rId63"/>
    <hyperlink xmlns:r="http://schemas.openxmlformats.org/officeDocument/2006/relationships" ref="C36" r:id="rId64"/>
    <hyperlink xmlns:r="http://schemas.openxmlformats.org/officeDocument/2006/relationships" ref="R36" r:id="rId65"/>
    <hyperlink xmlns:r="http://schemas.openxmlformats.org/officeDocument/2006/relationships" ref="C37" r:id="rId66"/>
    <hyperlink xmlns:r="http://schemas.openxmlformats.org/officeDocument/2006/relationships" ref="R37" r:id="rId67"/>
  </hyperlinks>
  <pageMargins left="0.75" right="0.75" top="1" bottom="1" header="0" footer="0"/>
  <pageSetup orientation="landscape" paperSize="8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120" customWidth="1" style="46" min="1" max="1"/>
  </cols>
  <sheetData>
    <row r="1">
      <c r="A1" s="57" t="inlineStr">
        <is>
          <t>הנחות וסימונים</t>
        </is>
      </c>
    </row>
    <row r="2">
      <c r="A2" s="58" t="inlineStr">
        <is>
          <t>מבנה, עמודות ונוסחאות — זהים לקובץ הדוגמה ששלחת.</t>
        </is>
      </c>
    </row>
    <row r="3">
      <c r="A3" s="58" t="inlineStr">
        <is>
          <t>עמודה D (עלות) = הערכה לכל ההזמנה/המארז: מחיר באלי בדולר × 3.7 ₪ + משלוח + ~10% בלת"מ. לא אומת מול ספק — חובה לבדוק לפני טסט.</t>
        </is>
      </c>
    </row>
    <row r="4">
      <c r="A4" s="58" t="inlineStr">
        <is>
          <t>עמודה E (מחיר) = מחיר מוצע לכל ההצעה (למשל מארז 7 בוקסרים), כי הרף של 150 ₪ רווח נמדד לפי הזמנה (AOV) ולא לפי יחידה.</t>
        </is>
      </c>
    </row>
    <row r="5">
      <c r="A5" s="58" t="inlineStr">
        <is>
          <t>עמודה C: הקישורים הישירים (a.aliexpress.com / item) הם אלה ששלחת. שאר הקישורים הם עמודי חיפוש באלי, כי אלי אקספרס חסום מהסביבה שלי ולא יכולתי לבחור ספק ספציפי.</t>
        </is>
      </c>
    </row>
    <row r="6">
      <c r="A6" s="58" t="inlineStr">
        <is>
          <t>עמודות R–T: אתרי מתחרים שאני בטוח שקיימים. תאים ריקים = לא מצאתי מתחרה מאומת.</t>
        </is>
      </c>
    </row>
    <row r="7">
      <c r="A7" s="58" t="inlineStr">
        <is>
          <t>עמודה U (דירוג): 1 = הכי מומלץ. הדירוג משלב את מבחן המנטור (תוצאה מיידית, מנגנון, עוגן מחיר, מנוף AOV) ואת הסיגנלים מספריית המודעות של מטא בישראל.</t>
        </is>
      </c>
    </row>
    <row r="8">
      <c r="A8" s="58" t="inlineStr">
        <is>
          <t>שורות 2–11: המוצרים ששלחת. 12–20: מוצרים דומים. 21 ואילך: מוצרים חדשים בנישות שינה, נחירות, נוחות ונראות.</t>
        </is>
      </c>
    </row>
    <row r="9">
      <c r="A9" s="58" t="inlineStr">
        <is>
          <t>מספרי המודעות בישראל = ספירת מילות מפתח ב-Meta Ad Library (30.9.2026), לא ימי ריצה.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2026-09-30T14:51:01Z</dcterms:created>
  <dcterms:modified xsi:type="dcterms:W3CDTF">2026-09-30T14:51:02Z</dcterms:modified>
</cp:coreProperties>
</file>